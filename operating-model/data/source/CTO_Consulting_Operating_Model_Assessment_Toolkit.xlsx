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karimkhalifa/Library/Mobile Documents/com~apple~CloudDocs/Documents/Documents - MacBook’s MacBook Pro/CTO Consulting/TOM Assessment/"/>
    </mc:Choice>
  </mc:AlternateContent>
  <xr:revisionPtr revIDLastSave="0" documentId="8_{77F13C98-DEA1-5249-B2B9-09D15499A066}" xr6:coauthVersionLast="47" xr6:coauthVersionMax="47" xr10:uidLastSave="{00000000-0000-0000-0000-000000000000}"/>
  <bookViews>
    <workbookView xWindow="0" yWindow="660" windowWidth="30240" windowHeight="18980" tabRatio="500" activeTab="10" xr2:uid="{00000000-000D-0000-FFFF-FFFF00000000}"/>
  </bookViews>
  <sheets>
    <sheet name="Cover" sheetId="1" r:id="rId1"/>
    <sheet name="Engagement" sheetId="2" r:id="rId2"/>
    <sheet name="Framework" sheetId="3" r:id="rId3"/>
    <sheet name="Maturity Model" sheetId="4" r:id="rId4"/>
    <sheet name="Stakeholders" sheetId="5" r:id="rId5"/>
    <sheet name="Interview Guides" sheetId="6" r:id="rId6"/>
    <sheet name="Document Requests" sheetId="7" r:id="rId7"/>
    <sheet name="Assessment" sheetId="8" r:id="rId8"/>
    <sheet name="Capabilities" sheetId="9" r:id="rId9"/>
    <sheet name="Processes" sheetId="10" r:id="rId10"/>
    <sheet name="Org Structure" sheetId="11" r:id="rId11"/>
    <sheet name="Decision Rights" sheetId="12" r:id="rId12"/>
    <sheet name="Applications" sheetId="13" r:id="rId13"/>
    <sheet name="Suppliers" sheetId="14" r:id="rId14"/>
    <sheet name="Locations" sheetId="15" r:id="rId15"/>
    <sheet name="Cost Baseline" sheetId="16" r:id="rId16"/>
    <sheet name="Findings" sheetId="17" r:id="rId17"/>
    <sheet name="Dashboard" sheetId="18" r:id="rId18"/>
    <sheet name="Current vs Target" sheetId="19" r:id="rId19"/>
    <sheet name="Recommendations" sheetId="20" r:id="rId20"/>
    <sheet name="Lists" sheetId="21" r:id="rId21"/>
  </sheets>
  <definedNames>
    <definedName name="_xlnm._FilterDatabase" localSheetId="12" hidden="1">Applications!$A$5:$U$156</definedName>
    <definedName name="_xlnm._FilterDatabase" localSheetId="7" hidden="1">Assessment!$A$5:$Q$179</definedName>
    <definedName name="_xlnm._FilterDatabase" localSheetId="8" hidden="1">Capabilities!$A$5:$O$76</definedName>
    <definedName name="_xlnm._FilterDatabase" localSheetId="15" hidden="1">'Cost Baseline'!$A$5:$O$36</definedName>
    <definedName name="_xlnm._FilterDatabase" localSheetId="6" hidden="1">'Document Requests'!$A$5:$L$89</definedName>
    <definedName name="_xlnm._FilterDatabase" localSheetId="16" hidden="1">Findings!$A$5:$N$156</definedName>
    <definedName name="_xlnm._FilterDatabase" localSheetId="5" hidden="1">'Interview Guides'!$A$5:$F$77</definedName>
    <definedName name="_xlnm._FilterDatabase" localSheetId="14" hidden="1">Locations!$A$5:$Q$46</definedName>
    <definedName name="_xlnm._FilterDatabase" localSheetId="10" hidden="1">'Org Structure'!$A$5:$T$36</definedName>
    <definedName name="_xlnm._FilterDatabase" localSheetId="9" hidden="1">Processes!$A$5:$S$65</definedName>
    <definedName name="_xlnm._FilterDatabase" localSheetId="19" hidden="1">Recommendations!$A$5:$O$86</definedName>
    <definedName name="_xlnm._FilterDatabase" localSheetId="4" hidden="1">Stakeholders!$A$5:$M$66</definedName>
    <definedName name="_xlnm._FilterDatabase" localSheetId="13" hidden="1">Suppliers!$A$5:$S$106</definedName>
    <definedName name="_xlnm.Print_Titles" localSheetId="12">Applications!$5:$5</definedName>
    <definedName name="_xlnm.Print_Titles" localSheetId="7">Assessment!$5:$5</definedName>
    <definedName name="_xlnm.Print_Titles" localSheetId="8">Capabilities!$5:$5</definedName>
    <definedName name="_xlnm.Print_Titles" localSheetId="15">'Cost Baseline'!$5:$5</definedName>
    <definedName name="_xlnm.Print_Titles" localSheetId="18">'Current vs Target'!$5:$5</definedName>
    <definedName name="_xlnm.Print_Titles" localSheetId="11">'Decision Rights'!$5:$5</definedName>
    <definedName name="_xlnm.Print_Titles" localSheetId="6">'Document Requests'!$5:$5</definedName>
    <definedName name="_xlnm.Print_Titles" localSheetId="16">Findings!$5:$5</definedName>
    <definedName name="_xlnm.Print_Titles" localSheetId="2">Framework!$4:$4</definedName>
    <definedName name="_xlnm.Print_Titles" localSheetId="5">'Interview Guides'!$5:$5</definedName>
    <definedName name="_xlnm.Print_Titles" localSheetId="14">Locations!$5:$5</definedName>
    <definedName name="_xlnm.Print_Titles" localSheetId="3">'Maturity Model'!$4:$4</definedName>
    <definedName name="_xlnm.Print_Titles" localSheetId="10">'Org Structure'!$5:$5</definedName>
    <definedName name="_xlnm.Print_Titles" localSheetId="9">Processes!$5:$5</definedName>
    <definedName name="_xlnm.Print_Titles" localSheetId="19">Recommendations!$5:$5</definedName>
    <definedName name="_xlnm.Print_Titles" localSheetId="4">Stakeholders!$5:$5</definedName>
    <definedName name="_xlnm.Print_Titles" localSheetId="13">Suppliers!$5:$5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87" i="20" l="1"/>
  <c r="I86" i="20"/>
  <c r="H86" i="20"/>
  <c r="I85" i="20"/>
  <c r="H85" i="20"/>
  <c r="I84" i="20"/>
  <c r="H84" i="20"/>
  <c r="I83" i="20"/>
  <c r="H83" i="20"/>
  <c r="I82" i="20"/>
  <c r="H82" i="20"/>
  <c r="I81" i="20"/>
  <c r="H81" i="20"/>
  <c r="I80" i="20"/>
  <c r="H80" i="20"/>
  <c r="I79" i="20"/>
  <c r="H79" i="20"/>
  <c r="I78" i="20"/>
  <c r="H78" i="20"/>
  <c r="I77" i="20"/>
  <c r="H77" i="20"/>
  <c r="I76" i="20"/>
  <c r="H76" i="20"/>
  <c r="I75" i="20"/>
  <c r="H75" i="20"/>
  <c r="I74" i="20"/>
  <c r="H74" i="20"/>
  <c r="I73" i="20"/>
  <c r="H73" i="20"/>
  <c r="I72" i="20"/>
  <c r="H72" i="20"/>
  <c r="I71" i="20"/>
  <c r="H71" i="20"/>
  <c r="I70" i="20"/>
  <c r="H70" i="20"/>
  <c r="I69" i="20"/>
  <c r="H69" i="20"/>
  <c r="I68" i="20"/>
  <c r="H68" i="20"/>
  <c r="I67" i="20"/>
  <c r="H67" i="20"/>
  <c r="I66" i="20"/>
  <c r="H66" i="20"/>
  <c r="I65" i="20"/>
  <c r="H65" i="20"/>
  <c r="I64" i="20"/>
  <c r="H64" i="20"/>
  <c r="I63" i="20"/>
  <c r="H63" i="20"/>
  <c r="I62" i="20"/>
  <c r="H62" i="20"/>
  <c r="I61" i="20"/>
  <c r="H61" i="20"/>
  <c r="I60" i="20"/>
  <c r="H60" i="20"/>
  <c r="I59" i="20"/>
  <c r="H59" i="20"/>
  <c r="I58" i="20"/>
  <c r="H58" i="20"/>
  <c r="I57" i="20"/>
  <c r="H57" i="20"/>
  <c r="I56" i="20"/>
  <c r="H56" i="20"/>
  <c r="I55" i="20"/>
  <c r="H55" i="20"/>
  <c r="I54" i="20"/>
  <c r="H54" i="20"/>
  <c r="I53" i="20"/>
  <c r="H53" i="20"/>
  <c r="I52" i="20"/>
  <c r="H52" i="20"/>
  <c r="I51" i="20"/>
  <c r="H51" i="20"/>
  <c r="I50" i="20"/>
  <c r="H50" i="20"/>
  <c r="I49" i="20"/>
  <c r="H49" i="20"/>
  <c r="I48" i="20"/>
  <c r="H48" i="20"/>
  <c r="I47" i="20"/>
  <c r="H47" i="20"/>
  <c r="I46" i="20"/>
  <c r="H46" i="20"/>
  <c r="I45" i="20"/>
  <c r="H45" i="20"/>
  <c r="I44" i="20"/>
  <c r="H44" i="20"/>
  <c r="I43" i="20"/>
  <c r="H43" i="20"/>
  <c r="I42" i="20"/>
  <c r="H42" i="20"/>
  <c r="I41" i="20"/>
  <c r="H41" i="20"/>
  <c r="I40" i="20"/>
  <c r="H40" i="20"/>
  <c r="I39" i="20"/>
  <c r="H39" i="20"/>
  <c r="I38" i="20"/>
  <c r="H38" i="20"/>
  <c r="I37" i="20"/>
  <c r="H37" i="20"/>
  <c r="I36" i="20"/>
  <c r="H36" i="20"/>
  <c r="I35" i="20"/>
  <c r="H35" i="20"/>
  <c r="I34" i="20"/>
  <c r="H34" i="20"/>
  <c r="I33" i="20"/>
  <c r="H33" i="20"/>
  <c r="I32" i="20"/>
  <c r="H32" i="20"/>
  <c r="I31" i="20"/>
  <c r="H31" i="20"/>
  <c r="I30" i="20"/>
  <c r="H30" i="20"/>
  <c r="I29" i="20"/>
  <c r="H29" i="20"/>
  <c r="I28" i="20"/>
  <c r="H28" i="20"/>
  <c r="I27" i="20"/>
  <c r="H27" i="20"/>
  <c r="I26" i="20"/>
  <c r="H26" i="20"/>
  <c r="I25" i="20"/>
  <c r="H25" i="20"/>
  <c r="I24" i="20"/>
  <c r="H24" i="20"/>
  <c r="I23" i="20"/>
  <c r="H23" i="20"/>
  <c r="I22" i="20"/>
  <c r="H22" i="20"/>
  <c r="I21" i="20"/>
  <c r="H21" i="20"/>
  <c r="I20" i="20"/>
  <c r="H20" i="20"/>
  <c r="I19" i="20"/>
  <c r="H19" i="20"/>
  <c r="I18" i="20"/>
  <c r="H18" i="20"/>
  <c r="I17" i="20"/>
  <c r="H17" i="20"/>
  <c r="I16" i="20"/>
  <c r="H16" i="20"/>
  <c r="I15" i="20"/>
  <c r="H15" i="20"/>
  <c r="I14" i="20"/>
  <c r="H14" i="20"/>
  <c r="I13" i="20"/>
  <c r="H13" i="20"/>
  <c r="I12" i="20"/>
  <c r="H12" i="20"/>
  <c r="I11" i="20"/>
  <c r="H11" i="20"/>
  <c r="I10" i="20"/>
  <c r="H10" i="20"/>
  <c r="I9" i="20"/>
  <c r="H9" i="20"/>
  <c r="I8" i="20"/>
  <c r="H8" i="20"/>
  <c r="I7" i="20"/>
  <c r="H7" i="20"/>
  <c r="I6" i="20"/>
  <c r="H6" i="20"/>
  <c r="Q33" i="18"/>
  <c r="P33" i="18"/>
  <c r="O33" i="18"/>
  <c r="N33" i="18"/>
  <c r="M33" i="18"/>
  <c r="I33" i="18"/>
  <c r="D22" i="19" s="1"/>
  <c r="H33" i="18"/>
  <c r="C22" i="19" s="1"/>
  <c r="F33" i="18"/>
  <c r="G33" i="18" s="1"/>
  <c r="E33" i="18"/>
  <c r="Q32" i="18"/>
  <c r="P32" i="18"/>
  <c r="O32" i="18"/>
  <c r="N32" i="18"/>
  <c r="M32" i="18"/>
  <c r="I32" i="18"/>
  <c r="D21" i="19" s="1"/>
  <c r="H32" i="18"/>
  <c r="C21" i="19" s="1"/>
  <c r="F32" i="18"/>
  <c r="G32" i="18" s="1"/>
  <c r="E32" i="18"/>
  <c r="Q31" i="18"/>
  <c r="P31" i="18"/>
  <c r="O31" i="18"/>
  <c r="N31" i="18"/>
  <c r="M31" i="18"/>
  <c r="I31" i="18"/>
  <c r="D20" i="19" s="1"/>
  <c r="H31" i="18"/>
  <c r="C20" i="19" s="1"/>
  <c r="F31" i="18"/>
  <c r="G31" i="18" s="1"/>
  <c r="E31" i="18"/>
  <c r="Q30" i="18"/>
  <c r="P30" i="18"/>
  <c r="O30" i="18"/>
  <c r="N30" i="18"/>
  <c r="M30" i="18"/>
  <c r="I30" i="18"/>
  <c r="D19" i="19" s="1"/>
  <c r="H30" i="18"/>
  <c r="C19" i="19" s="1"/>
  <c r="F30" i="18"/>
  <c r="G30" i="18" s="1"/>
  <c r="E30" i="18"/>
  <c r="Q29" i="18"/>
  <c r="P29" i="18"/>
  <c r="O29" i="18"/>
  <c r="N29" i="18"/>
  <c r="M29" i="18"/>
  <c r="I29" i="18"/>
  <c r="D18" i="19" s="1"/>
  <c r="H29" i="18"/>
  <c r="C18" i="19" s="1"/>
  <c r="G29" i="18"/>
  <c r="F29" i="18"/>
  <c r="E29" i="18"/>
  <c r="Q28" i="18"/>
  <c r="P28" i="18"/>
  <c r="O28" i="18"/>
  <c r="N28" i="18"/>
  <c r="M28" i="18"/>
  <c r="I28" i="18"/>
  <c r="D17" i="19" s="1"/>
  <c r="H28" i="18"/>
  <c r="C17" i="19" s="1"/>
  <c r="F28" i="18"/>
  <c r="G28" i="18" s="1"/>
  <c r="E28" i="18"/>
  <c r="Q27" i="18"/>
  <c r="P27" i="18"/>
  <c r="O27" i="18"/>
  <c r="N27" i="18"/>
  <c r="M27" i="18"/>
  <c r="I27" i="18"/>
  <c r="D16" i="19" s="1"/>
  <c r="H27" i="18"/>
  <c r="C16" i="19" s="1"/>
  <c r="F27" i="18"/>
  <c r="G27" i="18" s="1"/>
  <c r="E27" i="18"/>
  <c r="Q26" i="18"/>
  <c r="P26" i="18"/>
  <c r="O26" i="18"/>
  <c r="N26" i="18"/>
  <c r="M26" i="18"/>
  <c r="I26" i="18"/>
  <c r="D15" i="19" s="1"/>
  <c r="H26" i="18"/>
  <c r="C15" i="19" s="1"/>
  <c r="G26" i="18"/>
  <c r="F26" i="18"/>
  <c r="E26" i="18"/>
  <c r="Q25" i="18"/>
  <c r="P25" i="18"/>
  <c r="O25" i="18"/>
  <c r="N25" i="18"/>
  <c r="M25" i="18"/>
  <c r="I25" i="18"/>
  <c r="D14" i="19" s="1"/>
  <c r="H25" i="18"/>
  <c r="C14" i="19" s="1"/>
  <c r="F25" i="18"/>
  <c r="G25" i="18" s="1"/>
  <c r="E25" i="18"/>
  <c r="Q24" i="18"/>
  <c r="P24" i="18"/>
  <c r="O24" i="18"/>
  <c r="N24" i="18"/>
  <c r="M24" i="18"/>
  <c r="I24" i="18"/>
  <c r="D13" i="19" s="1"/>
  <c r="H24" i="18"/>
  <c r="C13" i="19" s="1"/>
  <c r="F24" i="18"/>
  <c r="G24" i="18" s="1"/>
  <c r="E24" i="18"/>
  <c r="Q23" i="18"/>
  <c r="P23" i="18"/>
  <c r="O23" i="18"/>
  <c r="N23" i="18"/>
  <c r="M23" i="18"/>
  <c r="I23" i="18"/>
  <c r="D12" i="19" s="1"/>
  <c r="H23" i="18"/>
  <c r="C12" i="19" s="1"/>
  <c r="F23" i="18"/>
  <c r="G23" i="18" s="1"/>
  <c r="E23" i="18"/>
  <c r="Q22" i="18"/>
  <c r="P22" i="18"/>
  <c r="O22" i="18"/>
  <c r="N22" i="18"/>
  <c r="M22" i="18"/>
  <c r="I22" i="18"/>
  <c r="D11" i="19" s="1"/>
  <c r="H22" i="18"/>
  <c r="C11" i="19" s="1"/>
  <c r="F22" i="18"/>
  <c r="E22" i="18"/>
  <c r="G22" i="18" s="1"/>
  <c r="Q21" i="18"/>
  <c r="P21" i="18"/>
  <c r="O21" i="18"/>
  <c r="N21" i="18"/>
  <c r="M21" i="18"/>
  <c r="I21" i="18"/>
  <c r="D10" i="19" s="1"/>
  <c r="H21" i="18"/>
  <c r="C10" i="19" s="1"/>
  <c r="G21" i="18"/>
  <c r="F21" i="18"/>
  <c r="E21" i="18"/>
  <c r="Q20" i="18"/>
  <c r="P20" i="18"/>
  <c r="O20" i="18"/>
  <c r="N20" i="18"/>
  <c r="M20" i="18"/>
  <c r="I20" i="18"/>
  <c r="D9" i="19" s="1"/>
  <c r="H20" i="18"/>
  <c r="C9" i="19" s="1"/>
  <c r="F20" i="18"/>
  <c r="G20" i="18" s="1"/>
  <c r="E20" i="18"/>
  <c r="Q19" i="18"/>
  <c r="P19" i="18"/>
  <c r="O19" i="18"/>
  <c r="N19" i="18"/>
  <c r="M19" i="18"/>
  <c r="I19" i="18"/>
  <c r="D8" i="19" s="1"/>
  <c r="H19" i="18"/>
  <c r="C8" i="19" s="1"/>
  <c r="G19" i="18"/>
  <c r="F19" i="18"/>
  <c r="E19" i="18"/>
  <c r="Q18" i="18"/>
  <c r="P18" i="18"/>
  <c r="O18" i="18"/>
  <c r="N18" i="18"/>
  <c r="M18" i="18"/>
  <c r="I18" i="18"/>
  <c r="D7" i="19" s="1"/>
  <c r="H18" i="18"/>
  <c r="C7" i="19" s="1"/>
  <c r="F18" i="18"/>
  <c r="G18" i="18" s="1"/>
  <c r="E18" i="18"/>
  <c r="Q17" i="18"/>
  <c r="Q34" i="18" s="1"/>
  <c r="P17" i="18"/>
  <c r="P34" i="18" s="1"/>
  <c r="O17" i="18"/>
  <c r="O34" i="18" s="1"/>
  <c r="N17" i="18"/>
  <c r="N34" i="18" s="1"/>
  <c r="M17" i="18"/>
  <c r="M34" i="18" s="1"/>
  <c r="I17" i="18"/>
  <c r="D6" i="19" s="1"/>
  <c r="H17" i="18"/>
  <c r="C6" i="19" s="1"/>
  <c r="G17" i="18"/>
  <c r="F17" i="18"/>
  <c r="F34" i="18" s="1"/>
  <c r="E17" i="18"/>
  <c r="E34" i="18" s="1"/>
  <c r="D13" i="18"/>
  <c r="D12" i="18"/>
  <c r="D11" i="18"/>
  <c r="K10" i="18"/>
  <c r="J10" i="18"/>
  <c r="I10" i="18"/>
  <c r="H10" i="18"/>
  <c r="L10" i="18" s="1"/>
  <c r="D10" i="18"/>
  <c r="K9" i="18"/>
  <c r="J9" i="18"/>
  <c r="I9" i="18"/>
  <c r="H9" i="18"/>
  <c r="L9" i="18" s="1"/>
  <c r="K8" i="18"/>
  <c r="J8" i="18"/>
  <c r="I8" i="18"/>
  <c r="H8" i="18"/>
  <c r="L8" i="18" s="1"/>
  <c r="K7" i="18"/>
  <c r="K11" i="18" s="1"/>
  <c r="J7" i="18"/>
  <c r="J11" i="18" s="1"/>
  <c r="I7" i="18"/>
  <c r="I11" i="18" s="1"/>
  <c r="H7" i="18"/>
  <c r="H11" i="18" s="1"/>
  <c r="D7" i="18"/>
  <c r="I34" i="18" s="1"/>
  <c r="D6" i="18"/>
  <c r="H34" i="18" s="1"/>
  <c r="B2" i="18"/>
  <c r="M37" i="16"/>
  <c r="L37" i="16"/>
  <c r="K37" i="16"/>
  <c r="H37" i="16"/>
  <c r="G37" i="16"/>
  <c r="F37" i="16"/>
  <c r="E37" i="16"/>
  <c r="D37" i="16"/>
  <c r="C37" i="16"/>
  <c r="N36" i="16"/>
  <c r="L36" i="16"/>
  <c r="I36" i="16"/>
  <c r="N35" i="16"/>
  <c r="L35" i="16"/>
  <c r="I35" i="16"/>
  <c r="I34" i="16"/>
  <c r="N34" i="16" s="1"/>
  <c r="N33" i="16"/>
  <c r="L33" i="16"/>
  <c r="I33" i="16"/>
  <c r="L32" i="16"/>
  <c r="I32" i="16"/>
  <c r="N32" i="16" s="1"/>
  <c r="I31" i="16"/>
  <c r="L31" i="16" s="1"/>
  <c r="N30" i="16"/>
  <c r="L30" i="16"/>
  <c r="I30" i="16"/>
  <c r="L29" i="16"/>
  <c r="I29" i="16"/>
  <c r="N29" i="16" s="1"/>
  <c r="I28" i="16"/>
  <c r="N28" i="16" s="1"/>
  <c r="N27" i="16"/>
  <c r="L27" i="16"/>
  <c r="I27" i="16"/>
  <c r="N26" i="16"/>
  <c r="L26" i="16"/>
  <c r="I26" i="16"/>
  <c r="I25" i="16"/>
  <c r="N25" i="16" s="1"/>
  <c r="N24" i="16"/>
  <c r="L24" i="16"/>
  <c r="I24" i="16"/>
  <c r="L23" i="16"/>
  <c r="I23" i="16"/>
  <c r="N23" i="16" s="1"/>
  <c r="I22" i="16"/>
  <c r="L22" i="16" s="1"/>
  <c r="N21" i="16"/>
  <c r="L21" i="16"/>
  <c r="I21" i="16"/>
  <c r="L20" i="16"/>
  <c r="I20" i="16"/>
  <c r="N20" i="16" s="1"/>
  <c r="I19" i="16"/>
  <c r="N19" i="16" s="1"/>
  <c r="N18" i="16"/>
  <c r="L18" i="16"/>
  <c r="I18" i="16"/>
  <c r="N17" i="16"/>
  <c r="L17" i="16"/>
  <c r="I17" i="16"/>
  <c r="I16" i="16"/>
  <c r="N16" i="16" s="1"/>
  <c r="N15" i="16"/>
  <c r="L15" i="16"/>
  <c r="I15" i="16"/>
  <c r="L14" i="16"/>
  <c r="I14" i="16"/>
  <c r="N14" i="16" s="1"/>
  <c r="I13" i="16"/>
  <c r="L13" i="16" s="1"/>
  <c r="N12" i="16"/>
  <c r="L12" i="16"/>
  <c r="I12" i="16"/>
  <c r="L11" i="16"/>
  <c r="I11" i="16"/>
  <c r="N11" i="16" s="1"/>
  <c r="I10" i="16"/>
  <c r="N10" i="16" s="1"/>
  <c r="N9" i="16"/>
  <c r="L9" i="16"/>
  <c r="I9" i="16"/>
  <c r="N8" i="16"/>
  <c r="L8" i="16"/>
  <c r="I8" i="16"/>
  <c r="I7" i="16"/>
  <c r="N7" i="16" s="1"/>
  <c r="N6" i="16"/>
  <c r="L6" i="16"/>
  <c r="I6" i="16"/>
  <c r="M47" i="15"/>
  <c r="L47" i="15"/>
  <c r="G47" i="15"/>
  <c r="N47" i="15" s="1"/>
  <c r="F47" i="15"/>
  <c r="N46" i="15"/>
  <c r="M46" i="15"/>
  <c r="K46" i="15"/>
  <c r="N45" i="15"/>
  <c r="M45" i="15"/>
  <c r="K45" i="15"/>
  <c r="N44" i="15"/>
  <c r="M44" i="15"/>
  <c r="K44" i="15"/>
  <c r="N43" i="15"/>
  <c r="M43" i="15"/>
  <c r="K43" i="15"/>
  <c r="N42" i="15"/>
  <c r="M42" i="15"/>
  <c r="K42" i="15"/>
  <c r="N41" i="15"/>
  <c r="M41" i="15"/>
  <c r="K41" i="15"/>
  <c r="N40" i="15"/>
  <c r="M40" i="15"/>
  <c r="K40" i="15"/>
  <c r="N39" i="15"/>
  <c r="M39" i="15"/>
  <c r="K39" i="15"/>
  <c r="N38" i="15"/>
  <c r="M38" i="15"/>
  <c r="K38" i="15"/>
  <c r="N37" i="15"/>
  <c r="M37" i="15"/>
  <c r="K37" i="15"/>
  <c r="N36" i="15"/>
  <c r="M36" i="15"/>
  <c r="K36" i="15"/>
  <c r="N35" i="15"/>
  <c r="M35" i="15"/>
  <c r="K35" i="15"/>
  <c r="N34" i="15"/>
  <c r="M34" i="15"/>
  <c r="K34" i="15"/>
  <c r="N33" i="15"/>
  <c r="M33" i="15"/>
  <c r="K33" i="15"/>
  <c r="N32" i="15"/>
  <c r="M32" i="15"/>
  <c r="K32" i="15"/>
  <c r="N31" i="15"/>
  <c r="M31" i="15"/>
  <c r="K31" i="15"/>
  <c r="N30" i="15"/>
  <c r="M30" i="15"/>
  <c r="K30" i="15"/>
  <c r="N29" i="15"/>
  <c r="M29" i="15"/>
  <c r="K29" i="15"/>
  <c r="N28" i="15"/>
  <c r="M28" i="15"/>
  <c r="K28" i="15"/>
  <c r="N27" i="15"/>
  <c r="M27" i="15"/>
  <c r="K27" i="15"/>
  <c r="N26" i="15"/>
  <c r="M26" i="15"/>
  <c r="K26" i="15"/>
  <c r="N25" i="15"/>
  <c r="M25" i="15"/>
  <c r="K25" i="15"/>
  <c r="N24" i="15"/>
  <c r="M24" i="15"/>
  <c r="K24" i="15"/>
  <c r="N23" i="15"/>
  <c r="M23" i="15"/>
  <c r="K23" i="15"/>
  <c r="N22" i="15"/>
  <c r="M22" i="15"/>
  <c r="K22" i="15"/>
  <c r="N21" i="15"/>
  <c r="M21" i="15"/>
  <c r="K21" i="15"/>
  <c r="N20" i="15"/>
  <c r="M20" i="15"/>
  <c r="K20" i="15"/>
  <c r="N19" i="15"/>
  <c r="M19" i="15"/>
  <c r="K19" i="15"/>
  <c r="N18" i="15"/>
  <c r="M18" i="15"/>
  <c r="K18" i="15"/>
  <c r="N17" i="15"/>
  <c r="M17" i="15"/>
  <c r="K17" i="15"/>
  <c r="N16" i="15"/>
  <c r="M16" i="15"/>
  <c r="K16" i="15"/>
  <c r="N15" i="15"/>
  <c r="M15" i="15"/>
  <c r="K15" i="15"/>
  <c r="N14" i="15"/>
  <c r="M14" i="15"/>
  <c r="K14" i="15"/>
  <c r="N13" i="15"/>
  <c r="M13" i="15"/>
  <c r="K13" i="15"/>
  <c r="N12" i="15"/>
  <c r="M12" i="15"/>
  <c r="K12" i="15"/>
  <c r="N11" i="15"/>
  <c r="M11" i="15"/>
  <c r="K11" i="15"/>
  <c r="N10" i="15"/>
  <c r="M10" i="15"/>
  <c r="K10" i="15"/>
  <c r="N9" i="15"/>
  <c r="M9" i="15"/>
  <c r="K9" i="15"/>
  <c r="N8" i="15"/>
  <c r="M8" i="15"/>
  <c r="K8" i="15"/>
  <c r="N7" i="15"/>
  <c r="M7" i="15"/>
  <c r="K7" i="15"/>
  <c r="N6" i="15"/>
  <c r="M6" i="15"/>
  <c r="K6" i="15"/>
  <c r="F107" i="14"/>
  <c r="O106" i="14"/>
  <c r="J106" i="14"/>
  <c r="K106" i="14" s="1"/>
  <c r="G106" i="14"/>
  <c r="O105" i="14"/>
  <c r="J105" i="14"/>
  <c r="K105" i="14" s="1"/>
  <c r="G105" i="14"/>
  <c r="O104" i="14"/>
  <c r="J104" i="14"/>
  <c r="K104" i="14" s="1"/>
  <c r="G104" i="14"/>
  <c r="O103" i="14"/>
  <c r="K103" i="14"/>
  <c r="J103" i="14"/>
  <c r="G103" i="14"/>
  <c r="O102" i="14"/>
  <c r="J102" i="14"/>
  <c r="K102" i="14" s="1"/>
  <c r="G102" i="14"/>
  <c r="O101" i="14"/>
  <c r="J101" i="14"/>
  <c r="K101" i="14" s="1"/>
  <c r="G101" i="14"/>
  <c r="O100" i="14"/>
  <c r="J100" i="14"/>
  <c r="K100" i="14" s="1"/>
  <c r="G100" i="14"/>
  <c r="O99" i="14"/>
  <c r="K99" i="14"/>
  <c r="J99" i="14"/>
  <c r="G99" i="14"/>
  <c r="O98" i="14"/>
  <c r="J98" i="14"/>
  <c r="K98" i="14" s="1"/>
  <c r="G98" i="14"/>
  <c r="O97" i="14"/>
  <c r="J97" i="14"/>
  <c r="K97" i="14" s="1"/>
  <c r="G97" i="14"/>
  <c r="O96" i="14"/>
  <c r="J96" i="14"/>
  <c r="K96" i="14" s="1"/>
  <c r="G96" i="14"/>
  <c r="O95" i="14"/>
  <c r="J95" i="14"/>
  <c r="K95" i="14" s="1"/>
  <c r="G95" i="14"/>
  <c r="O94" i="14"/>
  <c r="K94" i="14"/>
  <c r="J94" i="14"/>
  <c r="G94" i="14"/>
  <c r="O93" i="14"/>
  <c r="J93" i="14"/>
  <c r="K93" i="14" s="1"/>
  <c r="G93" i="14"/>
  <c r="O92" i="14"/>
  <c r="J92" i="14"/>
  <c r="K92" i="14" s="1"/>
  <c r="G92" i="14"/>
  <c r="O91" i="14"/>
  <c r="J91" i="14"/>
  <c r="K91" i="14" s="1"/>
  <c r="G91" i="14"/>
  <c r="O90" i="14"/>
  <c r="J90" i="14"/>
  <c r="K90" i="14" s="1"/>
  <c r="G90" i="14"/>
  <c r="O89" i="14"/>
  <c r="J89" i="14"/>
  <c r="K89" i="14" s="1"/>
  <c r="G89" i="14"/>
  <c r="O88" i="14"/>
  <c r="J88" i="14"/>
  <c r="K88" i="14" s="1"/>
  <c r="G88" i="14"/>
  <c r="O87" i="14"/>
  <c r="J87" i="14"/>
  <c r="K87" i="14" s="1"/>
  <c r="G87" i="14"/>
  <c r="O86" i="14"/>
  <c r="J86" i="14"/>
  <c r="K86" i="14" s="1"/>
  <c r="G86" i="14"/>
  <c r="O85" i="14"/>
  <c r="K85" i="14"/>
  <c r="J85" i="14"/>
  <c r="G85" i="14"/>
  <c r="O84" i="14"/>
  <c r="J84" i="14"/>
  <c r="K84" i="14" s="1"/>
  <c r="G84" i="14"/>
  <c r="O83" i="14"/>
  <c r="J83" i="14"/>
  <c r="K83" i="14" s="1"/>
  <c r="G83" i="14"/>
  <c r="O82" i="14"/>
  <c r="J82" i="14"/>
  <c r="K82" i="14" s="1"/>
  <c r="G82" i="14"/>
  <c r="O81" i="14"/>
  <c r="K81" i="14"/>
  <c r="J81" i="14"/>
  <c r="G81" i="14"/>
  <c r="O80" i="14"/>
  <c r="J80" i="14"/>
  <c r="K80" i="14" s="1"/>
  <c r="G80" i="14"/>
  <c r="O79" i="14"/>
  <c r="J79" i="14"/>
  <c r="K79" i="14" s="1"/>
  <c r="G79" i="14"/>
  <c r="O78" i="14"/>
  <c r="J78" i="14"/>
  <c r="K78" i="14" s="1"/>
  <c r="G78" i="14"/>
  <c r="O77" i="14"/>
  <c r="J77" i="14"/>
  <c r="K77" i="14" s="1"/>
  <c r="G77" i="14"/>
  <c r="O76" i="14"/>
  <c r="K76" i="14"/>
  <c r="J76" i="14"/>
  <c r="G76" i="14"/>
  <c r="O75" i="14"/>
  <c r="J75" i="14"/>
  <c r="K75" i="14" s="1"/>
  <c r="G75" i="14"/>
  <c r="O74" i="14"/>
  <c r="J74" i="14"/>
  <c r="K74" i="14" s="1"/>
  <c r="G74" i="14"/>
  <c r="O73" i="14"/>
  <c r="J73" i="14"/>
  <c r="K73" i="14" s="1"/>
  <c r="G73" i="14"/>
  <c r="O72" i="14"/>
  <c r="J72" i="14"/>
  <c r="K72" i="14" s="1"/>
  <c r="G72" i="14"/>
  <c r="O71" i="14"/>
  <c r="J71" i="14"/>
  <c r="K71" i="14" s="1"/>
  <c r="G71" i="14"/>
  <c r="O70" i="14"/>
  <c r="J70" i="14"/>
  <c r="K70" i="14" s="1"/>
  <c r="G70" i="14"/>
  <c r="O69" i="14"/>
  <c r="J69" i="14"/>
  <c r="K69" i="14" s="1"/>
  <c r="G69" i="14"/>
  <c r="O68" i="14"/>
  <c r="J68" i="14"/>
  <c r="K68" i="14" s="1"/>
  <c r="G68" i="14"/>
  <c r="O67" i="14"/>
  <c r="K67" i="14"/>
  <c r="J67" i="14"/>
  <c r="G67" i="14"/>
  <c r="O66" i="14"/>
  <c r="J66" i="14"/>
  <c r="K66" i="14" s="1"/>
  <c r="G66" i="14"/>
  <c r="O65" i="14"/>
  <c r="K65" i="14"/>
  <c r="J65" i="14"/>
  <c r="G65" i="14"/>
  <c r="O64" i="14"/>
  <c r="J64" i="14"/>
  <c r="K64" i="14" s="1"/>
  <c r="G64" i="14"/>
  <c r="O63" i="14"/>
  <c r="J63" i="14"/>
  <c r="K63" i="14" s="1"/>
  <c r="G63" i="14"/>
  <c r="O62" i="14"/>
  <c r="J62" i="14"/>
  <c r="K62" i="14" s="1"/>
  <c r="G62" i="14"/>
  <c r="O61" i="14"/>
  <c r="J61" i="14"/>
  <c r="K61" i="14" s="1"/>
  <c r="G61" i="14"/>
  <c r="O60" i="14"/>
  <c r="J60" i="14"/>
  <c r="K60" i="14" s="1"/>
  <c r="G60" i="14"/>
  <c r="O59" i="14"/>
  <c r="J59" i="14"/>
  <c r="K59" i="14" s="1"/>
  <c r="G59" i="14"/>
  <c r="O58" i="14"/>
  <c r="J58" i="14"/>
  <c r="K58" i="14" s="1"/>
  <c r="G58" i="14"/>
  <c r="O57" i="14"/>
  <c r="J57" i="14"/>
  <c r="K57" i="14" s="1"/>
  <c r="G57" i="14"/>
  <c r="O56" i="14"/>
  <c r="K56" i="14"/>
  <c r="J56" i="14"/>
  <c r="G56" i="14"/>
  <c r="O55" i="14"/>
  <c r="J55" i="14"/>
  <c r="K55" i="14" s="1"/>
  <c r="G55" i="14"/>
  <c r="O54" i="14"/>
  <c r="J54" i="14"/>
  <c r="K54" i="14" s="1"/>
  <c r="G54" i="14"/>
  <c r="O53" i="14"/>
  <c r="J53" i="14"/>
  <c r="K53" i="14" s="1"/>
  <c r="G53" i="14"/>
  <c r="O52" i="14"/>
  <c r="J52" i="14"/>
  <c r="K52" i="14" s="1"/>
  <c r="G52" i="14"/>
  <c r="O51" i="14"/>
  <c r="J51" i="14"/>
  <c r="K51" i="14" s="1"/>
  <c r="G51" i="14"/>
  <c r="O50" i="14"/>
  <c r="J50" i="14"/>
  <c r="K50" i="14" s="1"/>
  <c r="G50" i="14"/>
  <c r="O49" i="14"/>
  <c r="J49" i="14"/>
  <c r="K49" i="14" s="1"/>
  <c r="G49" i="14"/>
  <c r="O48" i="14"/>
  <c r="J48" i="14"/>
  <c r="K48" i="14" s="1"/>
  <c r="G48" i="14"/>
  <c r="O47" i="14"/>
  <c r="J47" i="14"/>
  <c r="K47" i="14" s="1"/>
  <c r="G47" i="14"/>
  <c r="O46" i="14"/>
  <c r="J46" i="14"/>
  <c r="K46" i="14" s="1"/>
  <c r="G46" i="14"/>
  <c r="O45" i="14"/>
  <c r="J45" i="14"/>
  <c r="K45" i="14" s="1"/>
  <c r="G45" i="14"/>
  <c r="O44" i="14"/>
  <c r="J44" i="14"/>
  <c r="K44" i="14" s="1"/>
  <c r="G44" i="14"/>
  <c r="O43" i="14"/>
  <c r="J43" i="14"/>
  <c r="K43" i="14" s="1"/>
  <c r="G43" i="14"/>
  <c r="O42" i="14"/>
  <c r="J42" i="14"/>
  <c r="K42" i="14" s="1"/>
  <c r="G42" i="14"/>
  <c r="O41" i="14"/>
  <c r="J41" i="14"/>
  <c r="K41" i="14" s="1"/>
  <c r="G41" i="14"/>
  <c r="O40" i="14"/>
  <c r="J40" i="14"/>
  <c r="K40" i="14" s="1"/>
  <c r="G40" i="14"/>
  <c r="O39" i="14"/>
  <c r="J39" i="14"/>
  <c r="K39" i="14" s="1"/>
  <c r="G39" i="14"/>
  <c r="O38" i="14"/>
  <c r="J38" i="14"/>
  <c r="K38" i="14" s="1"/>
  <c r="G38" i="14"/>
  <c r="O37" i="14"/>
  <c r="J37" i="14"/>
  <c r="K37" i="14" s="1"/>
  <c r="G37" i="14"/>
  <c r="O36" i="14"/>
  <c r="J36" i="14"/>
  <c r="K36" i="14" s="1"/>
  <c r="G36" i="14"/>
  <c r="O35" i="14"/>
  <c r="J35" i="14"/>
  <c r="K35" i="14" s="1"/>
  <c r="G35" i="14"/>
  <c r="O34" i="14"/>
  <c r="J34" i="14"/>
  <c r="K34" i="14" s="1"/>
  <c r="G34" i="14"/>
  <c r="O33" i="14"/>
  <c r="J33" i="14"/>
  <c r="K33" i="14" s="1"/>
  <c r="G33" i="14"/>
  <c r="O32" i="14"/>
  <c r="J32" i="14"/>
  <c r="K32" i="14" s="1"/>
  <c r="G32" i="14"/>
  <c r="O31" i="14"/>
  <c r="J31" i="14"/>
  <c r="K31" i="14" s="1"/>
  <c r="G31" i="14"/>
  <c r="O30" i="14"/>
  <c r="J30" i="14"/>
  <c r="K30" i="14" s="1"/>
  <c r="G30" i="14"/>
  <c r="O29" i="14"/>
  <c r="J29" i="14"/>
  <c r="K29" i="14" s="1"/>
  <c r="G29" i="14"/>
  <c r="O28" i="14"/>
  <c r="J28" i="14"/>
  <c r="K28" i="14" s="1"/>
  <c r="G28" i="14"/>
  <c r="O27" i="14"/>
  <c r="J27" i="14"/>
  <c r="K27" i="14" s="1"/>
  <c r="G27" i="14"/>
  <c r="O26" i="14"/>
  <c r="J26" i="14"/>
  <c r="K26" i="14" s="1"/>
  <c r="G26" i="14"/>
  <c r="O25" i="14"/>
  <c r="J25" i="14"/>
  <c r="K25" i="14" s="1"/>
  <c r="G25" i="14"/>
  <c r="O24" i="14"/>
  <c r="J24" i="14"/>
  <c r="K24" i="14" s="1"/>
  <c r="G24" i="14"/>
  <c r="O23" i="14"/>
  <c r="J23" i="14"/>
  <c r="K23" i="14" s="1"/>
  <c r="G23" i="14"/>
  <c r="O22" i="14"/>
  <c r="K22" i="14"/>
  <c r="J22" i="14"/>
  <c r="G22" i="14"/>
  <c r="O21" i="14"/>
  <c r="J21" i="14"/>
  <c r="K21" i="14" s="1"/>
  <c r="G21" i="14"/>
  <c r="O20" i="14"/>
  <c r="J20" i="14"/>
  <c r="K20" i="14" s="1"/>
  <c r="G20" i="14"/>
  <c r="O19" i="14"/>
  <c r="J19" i="14"/>
  <c r="K19" i="14" s="1"/>
  <c r="G19" i="14"/>
  <c r="O18" i="14"/>
  <c r="J18" i="14"/>
  <c r="K18" i="14" s="1"/>
  <c r="G18" i="14"/>
  <c r="O17" i="14"/>
  <c r="J17" i="14"/>
  <c r="K17" i="14" s="1"/>
  <c r="G17" i="14"/>
  <c r="O16" i="14"/>
  <c r="J16" i="14"/>
  <c r="K16" i="14" s="1"/>
  <c r="G16" i="14"/>
  <c r="O15" i="14"/>
  <c r="J15" i="14"/>
  <c r="K15" i="14" s="1"/>
  <c r="G15" i="14"/>
  <c r="O14" i="14"/>
  <c r="J14" i="14"/>
  <c r="K14" i="14" s="1"/>
  <c r="G14" i="14"/>
  <c r="O13" i="14"/>
  <c r="J13" i="14"/>
  <c r="K13" i="14" s="1"/>
  <c r="G13" i="14"/>
  <c r="O12" i="14"/>
  <c r="J12" i="14"/>
  <c r="K12" i="14" s="1"/>
  <c r="G12" i="14"/>
  <c r="O11" i="14"/>
  <c r="K11" i="14"/>
  <c r="J11" i="14"/>
  <c r="G11" i="14"/>
  <c r="O10" i="14"/>
  <c r="J10" i="14"/>
  <c r="K10" i="14" s="1"/>
  <c r="G10" i="14"/>
  <c r="O9" i="14"/>
  <c r="J9" i="14"/>
  <c r="K9" i="14" s="1"/>
  <c r="G9" i="14"/>
  <c r="O8" i="14"/>
  <c r="J8" i="14"/>
  <c r="K8" i="14" s="1"/>
  <c r="G8" i="14"/>
  <c r="O7" i="14"/>
  <c r="J7" i="14"/>
  <c r="K7" i="14" s="1"/>
  <c r="G7" i="14"/>
  <c r="O6" i="14"/>
  <c r="J6" i="14"/>
  <c r="K6" i="14" s="1"/>
  <c r="G6" i="14"/>
  <c r="Q156" i="13"/>
  <c r="P156" i="13"/>
  <c r="Q155" i="13"/>
  <c r="P155" i="13"/>
  <c r="Q154" i="13"/>
  <c r="P154" i="13"/>
  <c r="Q153" i="13"/>
  <c r="P153" i="13"/>
  <c r="Q152" i="13"/>
  <c r="P152" i="13"/>
  <c r="Q151" i="13"/>
  <c r="P151" i="13"/>
  <c r="Q150" i="13"/>
  <c r="P150" i="13"/>
  <c r="Q149" i="13"/>
  <c r="P149" i="13"/>
  <c r="Q148" i="13"/>
  <c r="P148" i="13"/>
  <c r="Q147" i="13"/>
  <c r="P147" i="13"/>
  <c r="Q146" i="13"/>
  <c r="P146" i="13"/>
  <c r="Q145" i="13"/>
  <c r="P145" i="13"/>
  <c r="Q144" i="13"/>
  <c r="P144" i="13"/>
  <c r="Q143" i="13"/>
  <c r="P143" i="13"/>
  <c r="Q142" i="13"/>
  <c r="P142" i="13"/>
  <c r="Q141" i="13"/>
  <c r="P141" i="13"/>
  <c r="Q140" i="13"/>
  <c r="P140" i="13"/>
  <c r="Q139" i="13"/>
  <c r="P139" i="13"/>
  <c r="Q138" i="13"/>
  <c r="P138" i="13"/>
  <c r="Q137" i="13"/>
  <c r="P137" i="13"/>
  <c r="Q136" i="13"/>
  <c r="P136" i="13"/>
  <c r="Q135" i="13"/>
  <c r="P135" i="13"/>
  <c r="Q134" i="13"/>
  <c r="P134" i="13"/>
  <c r="Q133" i="13"/>
  <c r="P133" i="13"/>
  <c r="Q132" i="13"/>
  <c r="P132" i="13"/>
  <c r="Q131" i="13"/>
  <c r="P131" i="13"/>
  <c r="Q130" i="13"/>
  <c r="P130" i="13"/>
  <c r="Q129" i="13"/>
  <c r="P129" i="13"/>
  <c r="Q128" i="13"/>
  <c r="P128" i="13"/>
  <c r="Q127" i="13"/>
  <c r="P127" i="13"/>
  <c r="Q126" i="13"/>
  <c r="P126" i="13"/>
  <c r="Q125" i="13"/>
  <c r="P125" i="13"/>
  <c r="Q124" i="13"/>
  <c r="P124" i="13"/>
  <c r="Q123" i="13"/>
  <c r="P123" i="13"/>
  <c r="Q122" i="13"/>
  <c r="P122" i="13"/>
  <c r="Q121" i="13"/>
  <c r="P121" i="13"/>
  <c r="Q120" i="13"/>
  <c r="P120" i="13"/>
  <c r="Q119" i="13"/>
  <c r="P119" i="13"/>
  <c r="Q118" i="13"/>
  <c r="P118" i="13"/>
  <c r="Q117" i="13"/>
  <c r="P117" i="13"/>
  <c r="Q116" i="13"/>
  <c r="P116" i="13"/>
  <c r="Q115" i="13"/>
  <c r="P115" i="13"/>
  <c r="Q114" i="13"/>
  <c r="P114" i="13"/>
  <c r="Q113" i="13"/>
  <c r="P113" i="13"/>
  <c r="Q112" i="13"/>
  <c r="P112" i="13"/>
  <c r="Q111" i="13"/>
  <c r="P111" i="13"/>
  <c r="Q110" i="13"/>
  <c r="P110" i="13"/>
  <c r="Q109" i="13"/>
  <c r="P109" i="13"/>
  <c r="Q108" i="13"/>
  <c r="P108" i="13"/>
  <c r="Q107" i="13"/>
  <c r="P107" i="13"/>
  <c r="Q106" i="13"/>
  <c r="P106" i="13"/>
  <c r="Q105" i="13"/>
  <c r="P105" i="13"/>
  <c r="Q104" i="13"/>
  <c r="P104" i="13"/>
  <c r="Q103" i="13"/>
  <c r="P103" i="13"/>
  <c r="Q102" i="13"/>
  <c r="P102" i="13"/>
  <c r="Q101" i="13"/>
  <c r="P101" i="13"/>
  <c r="Q100" i="13"/>
  <c r="P100" i="13"/>
  <c r="Q99" i="13"/>
  <c r="P99" i="13"/>
  <c r="Q98" i="13"/>
  <c r="P98" i="13"/>
  <c r="Q97" i="13"/>
  <c r="P97" i="13"/>
  <c r="Q96" i="13"/>
  <c r="P96" i="13"/>
  <c r="Q95" i="13"/>
  <c r="P95" i="13"/>
  <c r="Q94" i="13"/>
  <c r="P94" i="13"/>
  <c r="Q93" i="13"/>
  <c r="P93" i="13"/>
  <c r="Q92" i="13"/>
  <c r="P92" i="13"/>
  <c r="Q91" i="13"/>
  <c r="P91" i="13"/>
  <c r="Q90" i="13"/>
  <c r="P90" i="13"/>
  <c r="Q89" i="13"/>
  <c r="P89" i="13"/>
  <c r="Q88" i="13"/>
  <c r="P88" i="13"/>
  <c r="Q87" i="13"/>
  <c r="P87" i="13"/>
  <c r="Q86" i="13"/>
  <c r="P86" i="13"/>
  <c r="Q85" i="13"/>
  <c r="P85" i="13"/>
  <c r="Q84" i="13"/>
  <c r="P84" i="13"/>
  <c r="Q83" i="13"/>
  <c r="P83" i="13"/>
  <c r="Q82" i="13"/>
  <c r="P82" i="13"/>
  <c r="Q81" i="13"/>
  <c r="P81" i="13"/>
  <c r="Q80" i="13"/>
  <c r="P80" i="13"/>
  <c r="Q79" i="13"/>
  <c r="P79" i="13"/>
  <c r="Q78" i="13"/>
  <c r="P78" i="13"/>
  <c r="Q77" i="13"/>
  <c r="P77" i="13"/>
  <c r="Q76" i="13"/>
  <c r="P76" i="13"/>
  <c r="Q75" i="13"/>
  <c r="P75" i="13"/>
  <c r="Q74" i="13"/>
  <c r="P74" i="13"/>
  <c r="Q73" i="13"/>
  <c r="P73" i="13"/>
  <c r="Q72" i="13"/>
  <c r="P72" i="13"/>
  <c r="Q71" i="13"/>
  <c r="P71" i="13"/>
  <c r="Q70" i="13"/>
  <c r="P70" i="13"/>
  <c r="Q69" i="13"/>
  <c r="P69" i="13"/>
  <c r="Q68" i="13"/>
  <c r="P68" i="13"/>
  <c r="Q67" i="13"/>
  <c r="P67" i="13"/>
  <c r="Q66" i="13"/>
  <c r="P66" i="13"/>
  <c r="Q65" i="13"/>
  <c r="P65" i="13"/>
  <c r="Q64" i="13"/>
  <c r="P64" i="13"/>
  <c r="Q63" i="13"/>
  <c r="P63" i="13"/>
  <c r="Q62" i="13"/>
  <c r="P62" i="13"/>
  <c r="Q61" i="13"/>
  <c r="P61" i="13"/>
  <c r="Q60" i="13"/>
  <c r="P60" i="13"/>
  <c r="Q59" i="13"/>
  <c r="P59" i="13"/>
  <c r="Q58" i="13"/>
  <c r="P58" i="13"/>
  <c r="Q57" i="13"/>
  <c r="P57" i="13"/>
  <c r="Q56" i="13"/>
  <c r="P56" i="13"/>
  <c r="Q55" i="13"/>
  <c r="P55" i="13"/>
  <c r="Q54" i="13"/>
  <c r="P54" i="13"/>
  <c r="Q53" i="13"/>
  <c r="P53" i="13"/>
  <c r="Q52" i="13"/>
  <c r="P52" i="13"/>
  <c r="Q51" i="13"/>
  <c r="P51" i="13"/>
  <c r="Q50" i="13"/>
  <c r="P50" i="13"/>
  <c r="Q49" i="13"/>
  <c r="P49" i="13"/>
  <c r="Q48" i="13"/>
  <c r="P48" i="13"/>
  <c r="Q47" i="13"/>
  <c r="P47" i="13"/>
  <c r="Q46" i="13"/>
  <c r="P46" i="13"/>
  <c r="Q45" i="13"/>
  <c r="P45" i="13"/>
  <c r="Q44" i="13"/>
  <c r="P44" i="13"/>
  <c r="Q43" i="13"/>
  <c r="P43" i="13"/>
  <c r="Q42" i="13"/>
  <c r="P42" i="13"/>
  <c r="Q41" i="13"/>
  <c r="P41" i="13"/>
  <c r="Q40" i="13"/>
  <c r="P40" i="13"/>
  <c r="Q39" i="13"/>
  <c r="P39" i="13"/>
  <c r="Q38" i="13"/>
  <c r="P38" i="13"/>
  <c r="Q37" i="13"/>
  <c r="P37" i="13"/>
  <c r="Q36" i="13"/>
  <c r="P36" i="13"/>
  <c r="Q35" i="13"/>
  <c r="P35" i="13"/>
  <c r="Q34" i="13"/>
  <c r="P34" i="13"/>
  <c r="Q33" i="13"/>
  <c r="P33" i="13"/>
  <c r="Q32" i="13"/>
  <c r="P32" i="13"/>
  <c r="Q31" i="13"/>
  <c r="P31" i="13"/>
  <c r="Q30" i="13"/>
  <c r="P30" i="13"/>
  <c r="Q29" i="13"/>
  <c r="P29" i="13"/>
  <c r="Q28" i="13"/>
  <c r="P28" i="13"/>
  <c r="Q27" i="13"/>
  <c r="P27" i="13"/>
  <c r="Q26" i="13"/>
  <c r="P26" i="13"/>
  <c r="Q25" i="13"/>
  <c r="P25" i="13"/>
  <c r="Q24" i="13"/>
  <c r="P24" i="13"/>
  <c r="Q23" i="13"/>
  <c r="P23" i="13"/>
  <c r="Q22" i="13"/>
  <c r="P22" i="13"/>
  <c r="Q21" i="13"/>
  <c r="P21" i="13"/>
  <c r="Q20" i="13"/>
  <c r="P20" i="13"/>
  <c r="Q19" i="13"/>
  <c r="P19" i="13"/>
  <c r="Q18" i="13"/>
  <c r="P18" i="13"/>
  <c r="Q17" i="13"/>
  <c r="P17" i="13"/>
  <c r="Q16" i="13"/>
  <c r="P16" i="13"/>
  <c r="Q15" i="13"/>
  <c r="P15" i="13"/>
  <c r="Q14" i="13"/>
  <c r="P14" i="13"/>
  <c r="Q13" i="13"/>
  <c r="P13" i="13"/>
  <c r="Q12" i="13"/>
  <c r="P12" i="13"/>
  <c r="Q11" i="13"/>
  <c r="P11" i="13"/>
  <c r="Q10" i="13"/>
  <c r="P10" i="13"/>
  <c r="Q9" i="13"/>
  <c r="P9" i="13"/>
  <c r="Q8" i="13"/>
  <c r="P8" i="13"/>
  <c r="Q7" i="13"/>
  <c r="P7" i="13"/>
  <c r="Q6" i="13"/>
  <c r="P6" i="13"/>
  <c r="O36" i="12"/>
  <c r="N36" i="12"/>
  <c r="O35" i="12"/>
  <c r="N35" i="12"/>
  <c r="O34" i="12"/>
  <c r="N34" i="12"/>
  <c r="O33" i="12"/>
  <c r="N33" i="12"/>
  <c r="O32" i="12"/>
  <c r="N32" i="12"/>
  <c r="O31" i="12"/>
  <c r="N31" i="12"/>
  <c r="O30" i="12"/>
  <c r="N30" i="12"/>
  <c r="O29" i="12"/>
  <c r="N29" i="12"/>
  <c r="O28" i="12"/>
  <c r="N28" i="12"/>
  <c r="O27" i="12"/>
  <c r="N27" i="12"/>
  <c r="O26" i="12"/>
  <c r="N26" i="12"/>
  <c r="O25" i="12"/>
  <c r="N25" i="12"/>
  <c r="O24" i="12"/>
  <c r="N24" i="12"/>
  <c r="O23" i="12"/>
  <c r="N23" i="12"/>
  <c r="O22" i="12"/>
  <c r="N22" i="12"/>
  <c r="O21" i="12"/>
  <c r="N21" i="12"/>
  <c r="O20" i="12"/>
  <c r="N20" i="12"/>
  <c r="O19" i="12"/>
  <c r="N19" i="12"/>
  <c r="O18" i="12"/>
  <c r="N18" i="12"/>
  <c r="O17" i="12"/>
  <c r="N17" i="12"/>
  <c r="O16" i="12"/>
  <c r="N16" i="12"/>
  <c r="O15" i="12"/>
  <c r="N15" i="12"/>
  <c r="O14" i="12"/>
  <c r="N14" i="12"/>
  <c r="O13" i="12"/>
  <c r="N13" i="12"/>
  <c r="O12" i="12"/>
  <c r="N12" i="12"/>
  <c r="O11" i="12"/>
  <c r="N11" i="12"/>
  <c r="O10" i="12"/>
  <c r="N10" i="12"/>
  <c r="O9" i="12"/>
  <c r="N9" i="12"/>
  <c r="O8" i="12"/>
  <c r="N8" i="12"/>
  <c r="O7" i="12"/>
  <c r="N7" i="12"/>
  <c r="O6" i="12"/>
  <c r="N6" i="12"/>
  <c r="S37" i="11"/>
  <c r="Q37" i="11"/>
  <c r="L37" i="11"/>
  <c r="K37" i="11"/>
  <c r="M37" i="11" s="1"/>
  <c r="H37" i="11"/>
  <c r="G37" i="11"/>
  <c r="F37" i="11"/>
  <c r="E37" i="11"/>
  <c r="R37" i="11" s="1"/>
  <c r="R36" i="11"/>
  <c r="P36" i="11"/>
  <c r="N36" i="11"/>
  <c r="M36" i="11"/>
  <c r="O36" i="11" s="1"/>
  <c r="I36" i="11"/>
  <c r="J36" i="11" s="1"/>
  <c r="R35" i="11"/>
  <c r="P35" i="11"/>
  <c r="N35" i="11"/>
  <c r="M35" i="11"/>
  <c r="O35" i="11" s="1"/>
  <c r="J35" i="11"/>
  <c r="I35" i="11"/>
  <c r="R34" i="11"/>
  <c r="P34" i="11"/>
  <c r="O34" i="11"/>
  <c r="N34" i="11"/>
  <c r="M34" i="11"/>
  <c r="I34" i="11"/>
  <c r="J34" i="11" s="1"/>
  <c r="R33" i="11"/>
  <c r="P33" i="11"/>
  <c r="O33" i="11"/>
  <c r="N33" i="11"/>
  <c r="M33" i="11"/>
  <c r="I33" i="11"/>
  <c r="J33" i="11" s="1"/>
  <c r="R32" i="11"/>
  <c r="P32" i="11"/>
  <c r="O32" i="11"/>
  <c r="N32" i="11"/>
  <c r="M32" i="11"/>
  <c r="J32" i="11"/>
  <c r="I32" i="11"/>
  <c r="R31" i="11"/>
  <c r="P31" i="11"/>
  <c r="N31" i="11"/>
  <c r="M31" i="11"/>
  <c r="O31" i="11" s="1"/>
  <c r="J31" i="11"/>
  <c r="I31" i="11"/>
  <c r="R30" i="11"/>
  <c r="P30" i="11"/>
  <c r="N30" i="11"/>
  <c r="M30" i="11"/>
  <c r="O30" i="11" s="1"/>
  <c r="I30" i="11"/>
  <c r="J30" i="11" s="1"/>
  <c r="R29" i="11"/>
  <c r="P29" i="11"/>
  <c r="N29" i="11"/>
  <c r="M29" i="11"/>
  <c r="O29" i="11" s="1"/>
  <c r="J29" i="11"/>
  <c r="I29" i="11"/>
  <c r="R28" i="11"/>
  <c r="P28" i="11"/>
  <c r="N28" i="11"/>
  <c r="M28" i="11"/>
  <c r="O28" i="11" s="1"/>
  <c r="J28" i="11"/>
  <c r="I28" i="11"/>
  <c r="R27" i="11"/>
  <c r="P27" i="11"/>
  <c r="N27" i="11"/>
  <c r="M27" i="11"/>
  <c r="O27" i="11" s="1"/>
  <c r="I27" i="11"/>
  <c r="J27" i="11" s="1"/>
  <c r="R26" i="11"/>
  <c r="P26" i="11"/>
  <c r="N26" i="11"/>
  <c r="M26" i="11"/>
  <c r="O26" i="11" s="1"/>
  <c r="J26" i="11"/>
  <c r="I26" i="11"/>
  <c r="R25" i="11"/>
  <c r="P25" i="11"/>
  <c r="N25" i="11"/>
  <c r="M25" i="11"/>
  <c r="O25" i="11" s="1"/>
  <c r="J25" i="11"/>
  <c r="I25" i="11"/>
  <c r="R24" i="11"/>
  <c r="P24" i="11"/>
  <c r="N24" i="11"/>
  <c r="M24" i="11"/>
  <c r="O24" i="11" s="1"/>
  <c r="J24" i="11"/>
  <c r="I24" i="11"/>
  <c r="R23" i="11"/>
  <c r="P23" i="11"/>
  <c r="O23" i="11"/>
  <c r="N23" i="11"/>
  <c r="M23" i="11"/>
  <c r="J23" i="11"/>
  <c r="I23" i="11"/>
  <c r="R22" i="11"/>
  <c r="P22" i="11"/>
  <c r="O22" i="11"/>
  <c r="N22" i="11"/>
  <c r="M22" i="11"/>
  <c r="J22" i="11"/>
  <c r="I22" i="11"/>
  <c r="R21" i="11"/>
  <c r="P21" i="11"/>
  <c r="N21" i="11"/>
  <c r="M21" i="11"/>
  <c r="O21" i="11" s="1"/>
  <c r="I21" i="11"/>
  <c r="J21" i="11" s="1"/>
  <c r="R20" i="11"/>
  <c r="P20" i="11"/>
  <c r="N20" i="11"/>
  <c r="M20" i="11"/>
  <c r="O20" i="11" s="1"/>
  <c r="I20" i="11"/>
  <c r="J20" i="11" s="1"/>
  <c r="R19" i="11"/>
  <c r="P19" i="11"/>
  <c r="N19" i="11"/>
  <c r="M19" i="11"/>
  <c r="O19" i="11" s="1"/>
  <c r="J19" i="11"/>
  <c r="I19" i="11"/>
  <c r="R18" i="11"/>
  <c r="P18" i="11"/>
  <c r="N18" i="11"/>
  <c r="M18" i="11"/>
  <c r="O18" i="11" s="1"/>
  <c r="J18" i="11"/>
  <c r="I18" i="11"/>
  <c r="R17" i="11"/>
  <c r="P17" i="11"/>
  <c r="O17" i="11"/>
  <c r="N17" i="11"/>
  <c r="M17" i="11"/>
  <c r="J17" i="11"/>
  <c r="I17" i="11"/>
  <c r="R16" i="11"/>
  <c r="P16" i="11"/>
  <c r="O16" i="11"/>
  <c r="N16" i="11"/>
  <c r="M16" i="11"/>
  <c r="J16" i="11"/>
  <c r="I16" i="11"/>
  <c r="R15" i="11"/>
  <c r="P15" i="11"/>
  <c r="O15" i="11"/>
  <c r="N15" i="11"/>
  <c r="M15" i="11"/>
  <c r="I15" i="11"/>
  <c r="J15" i="11" s="1"/>
  <c r="R14" i="11"/>
  <c r="P14" i="11"/>
  <c r="O14" i="11"/>
  <c r="N14" i="11"/>
  <c r="M14" i="11"/>
  <c r="J14" i="11"/>
  <c r="I14" i="11"/>
  <c r="R13" i="11"/>
  <c r="P13" i="11"/>
  <c r="N13" i="11"/>
  <c r="M13" i="11"/>
  <c r="O13" i="11" s="1"/>
  <c r="J13" i="11"/>
  <c r="I13" i="11"/>
  <c r="R12" i="11"/>
  <c r="P12" i="11"/>
  <c r="N12" i="11"/>
  <c r="M12" i="11"/>
  <c r="O12" i="11" s="1"/>
  <c r="I12" i="11"/>
  <c r="J12" i="11" s="1"/>
  <c r="R11" i="11"/>
  <c r="P11" i="11"/>
  <c r="O11" i="11"/>
  <c r="N11" i="11"/>
  <c r="M11" i="11"/>
  <c r="I11" i="11"/>
  <c r="J11" i="11" s="1"/>
  <c r="R10" i="11"/>
  <c r="P10" i="11"/>
  <c r="O10" i="11"/>
  <c r="N10" i="11"/>
  <c r="M10" i="11"/>
  <c r="I10" i="11"/>
  <c r="J10" i="11" s="1"/>
  <c r="R9" i="11"/>
  <c r="P9" i="11"/>
  <c r="N9" i="11"/>
  <c r="M9" i="11"/>
  <c r="O9" i="11" s="1"/>
  <c r="I9" i="11"/>
  <c r="J9" i="11" s="1"/>
  <c r="R8" i="11"/>
  <c r="P8" i="11"/>
  <c r="O8" i="11"/>
  <c r="N8" i="11"/>
  <c r="M8" i="11"/>
  <c r="I8" i="11"/>
  <c r="J8" i="11" s="1"/>
  <c r="R7" i="11"/>
  <c r="P7" i="11"/>
  <c r="N7" i="11"/>
  <c r="M7" i="11"/>
  <c r="O7" i="11" s="1"/>
  <c r="J7" i="11"/>
  <c r="I7" i="11"/>
  <c r="I37" i="11" s="1"/>
  <c r="J37" i="11" s="1"/>
  <c r="R6" i="11"/>
  <c r="P6" i="11"/>
  <c r="N6" i="11"/>
  <c r="M6" i="11"/>
  <c r="O6" i="11" s="1"/>
  <c r="I6" i="11"/>
  <c r="J6" i="11" s="1"/>
  <c r="N65" i="10"/>
  <c r="N64" i="10"/>
  <c r="N63" i="10"/>
  <c r="N62" i="10"/>
  <c r="N61" i="10"/>
  <c r="N60" i="10"/>
  <c r="N59" i="10"/>
  <c r="N58" i="10"/>
  <c r="N57" i="10"/>
  <c r="N56" i="10"/>
  <c r="N55" i="10"/>
  <c r="N54" i="10"/>
  <c r="N53" i="10"/>
  <c r="N52" i="10"/>
  <c r="N51" i="10"/>
  <c r="N50" i="10"/>
  <c r="N49" i="10"/>
  <c r="N48" i="10"/>
  <c r="N47" i="10"/>
  <c r="N46" i="10"/>
  <c r="N45" i="10"/>
  <c r="N44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J76" i="9"/>
  <c r="K76" i="9" s="1"/>
  <c r="K75" i="9"/>
  <c r="J75" i="9"/>
  <c r="J74" i="9"/>
  <c r="K74" i="9" s="1"/>
  <c r="K73" i="9"/>
  <c r="J73" i="9"/>
  <c r="K72" i="9"/>
  <c r="J72" i="9"/>
  <c r="J71" i="9"/>
  <c r="K71" i="9" s="1"/>
  <c r="K70" i="9"/>
  <c r="J70" i="9"/>
  <c r="J69" i="9"/>
  <c r="K69" i="9" s="1"/>
  <c r="K68" i="9"/>
  <c r="J68" i="9"/>
  <c r="J67" i="9"/>
  <c r="K67" i="9" s="1"/>
  <c r="K66" i="9"/>
  <c r="J66" i="9"/>
  <c r="J65" i="9"/>
  <c r="K65" i="9" s="1"/>
  <c r="K64" i="9"/>
  <c r="J64" i="9"/>
  <c r="K63" i="9"/>
  <c r="J63" i="9"/>
  <c r="J62" i="9"/>
  <c r="K62" i="9" s="1"/>
  <c r="K61" i="9"/>
  <c r="J61" i="9"/>
  <c r="J60" i="9"/>
  <c r="K60" i="9" s="1"/>
  <c r="K59" i="9"/>
  <c r="J59" i="9"/>
  <c r="J58" i="9"/>
  <c r="K58" i="9" s="1"/>
  <c r="K57" i="9"/>
  <c r="J57" i="9"/>
  <c r="J56" i="9"/>
  <c r="K56" i="9" s="1"/>
  <c r="K55" i="9"/>
  <c r="J55" i="9"/>
  <c r="K54" i="9"/>
  <c r="J54" i="9"/>
  <c r="J53" i="9"/>
  <c r="K53" i="9" s="1"/>
  <c r="K52" i="9"/>
  <c r="J52" i="9"/>
  <c r="J51" i="9"/>
  <c r="K51" i="9" s="1"/>
  <c r="K50" i="9"/>
  <c r="J50" i="9"/>
  <c r="J49" i="9"/>
  <c r="K49" i="9" s="1"/>
  <c r="K48" i="9"/>
  <c r="J48" i="9"/>
  <c r="J47" i="9"/>
  <c r="K47" i="9" s="1"/>
  <c r="K46" i="9"/>
  <c r="J46" i="9"/>
  <c r="K45" i="9"/>
  <c r="J45" i="9"/>
  <c r="J44" i="9"/>
  <c r="K44" i="9" s="1"/>
  <c r="K43" i="9"/>
  <c r="J43" i="9"/>
  <c r="J42" i="9"/>
  <c r="K42" i="9" s="1"/>
  <c r="K41" i="9"/>
  <c r="J41" i="9"/>
  <c r="J40" i="9"/>
  <c r="K40" i="9" s="1"/>
  <c r="K39" i="9"/>
  <c r="J39" i="9"/>
  <c r="J38" i="9"/>
  <c r="K38" i="9" s="1"/>
  <c r="K37" i="9"/>
  <c r="J37" i="9"/>
  <c r="K36" i="9"/>
  <c r="J36" i="9"/>
  <c r="J35" i="9"/>
  <c r="K35" i="9" s="1"/>
  <c r="K34" i="9"/>
  <c r="J34" i="9"/>
  <c r="J33" i="9"/>
  <c r="K33" i="9" s="1"/>
  <c r="K32" i="9"/>
  <c r="J32" i="9"/>
  <c r="J31" i="9"/>
  <c r="K31" i="9" s="1"/>
  <c r="K30" i="9"/>
  <c r="J30" i="9"/>
  <c r="J29" i="9"/>
  <c r="K29" i="9" s="1"/>
  <c r="K28" i="9"/>
  <c r="J28" i="9"/>
  <c r="K27" i="9"/>
  <c r="J27" i="9"/>
  <c r="J26" i="9"/>
  <c r="K26" i="9" s="1"/>
  <c r="K25" i="9"/>
  <c r="J25" i="9"/>
  <c r="J24" i="9"/>
  <c r="K24" i="9" s="1"/>
  <c r="K23" i="9"/>
  <c r="J23" i="9"/>
  <c r="J22" i="9"/>
  <c r="K22" i="9" s="1"/>
  <c r="K21" i="9"/>
  <c r="J21" i="9"/>
  <c r="J20" i="9"/>
  <c r="K20" i="9" s="1"/>
  <c r="K19" i="9"/>
  <c r="J19" i="9"/>
  <c r="K18" i="9"/>
  <c r="J18" i="9"/>
  <c r="J17" i="9"/>
  <c r="K17" i="9" s="1"/>
  <c r="K16" i="9"/>
  <c r="J16" i="9"/>
  <c r="J15" i="9"/>
  <c r="K15" i="9" s="1"/>
  <c r="K14" i="9"/>
  <c r="J14" i="9"/>
  <c r="J13" i="9"/>
  <c r="K13" i="9" s="1"/>
  <c r="K12" i="9"/>
  <c r="J12" i="9"/>
  <c r="J11" i="9"/>
  <c r="K11" i="9" s="1"/>
  <c r="K10" i="9"/>
  <c r="J10" i="9"/>
  <c r="K9" i="9"/>
  <c r="J9" i="9"/>
  <c r="J8" i="9"/>
  <c r="K8" i="9" s="1"/>
  <c r="K7" i="9"/>
  <c r="J7" i="9"/>
  <c r="J6" i="9"/>
  <c r="K6" i="9" s="1"/>
  <c r="H179" i="8"/>
  <c r="I179" i="8" s="1"/>
  <c r="J179" i="8" s="1"/>
  <c r="H178" i="8"/>
  <c r="I178" i="8" s="1"/>
  <c r="K177" i="8"/>
  <c r="I177" i="8"/>
  <c r="J177" i="8" s="1"/>
  <c r="H177" i="8"/>
  <c r="I176" i="8"/>
  <c r="K176" i="8" s="1"/>
  <c r="H176" i="8"/>
  <c r="I175" i="8"/>
  <c r="H175" i="8"/>
  <c r="I174" i="8"/>
  <c r="K174" i="8" s="1"/>
  <c r="H174" i="8"/>
  <c r="I173" i="8"/>
  <c r="K173" i="8" s="1"/>
  <c r="H173" i="8"/>
  <c r="H172" i="8"/>
  <c r="I172" i="8" s="1"/>
  <c r="H171" i="8"/>
  <c r="I171" i="8" s="1"/>
  <c r="H170" i="8"/>
  <c r="I170" i="8" s="1"/>
  <c r="H168" i="8"/>
  <c r="I168" i="8" s="1"/>
  <c r="K167" i="8"/>
  <c r="I167" i="8"/>
  <c r="J167" i="8" s="1"/>
  <c r="H167" i="8"/>
  <c r="I166" i="8"/>
  <c r="K166" i="8" s="1"/>
  <c r="H166" i="8"/>
  <c r="I165" i="8"/>
  <c r="H165" i="8"/>
  <c r="I164" i="8"/>
  <c r="K164" i="8" s="1"/>
  <c r="H164" i="8"/>
  <c r="I163" i="8"/>
  <c r="K163" i="8" s="1"/>
  <c r="H163" i="8"/>
  <c r="H162" i="8"/>
  <c r="I162" i="8" s="1"/>
  <c r="H161" i="8"/>
  <c r="I161" i="8" s="1"/>
  <c r="H160" i="8"/>
  <c r="I160" i="8" s="1"/>
  <c r="K160" i="8" s="1"/>
  <c r="H158" i="8"/>
  <c r="I158" i="8" s="1"/>
  <c r="K157" i="8"/>
  <c r="I157" i="8"/>
  <c r="J157" i="8" s="1"/>
  <c r="H157" i="8"/>
  <c r="I156" i="8"/>
  <c r="K156" i="8" s="1"/>
  <c r="H156" i="8"/>
  <c r="I155" i="8"/>
  <c r="H155" i="8"/>
  <c r="I154" i="8"/>
  <c r="K154" i="8" s="1"/>
  <c r="H154" i="8"/>
  <c r="I153" i="8"/>
  <c r="K153" i="8" s="1"/>
  <c r="H153" i="8"/>
  <c r="H152" i="8"/>
  <c r="I152" i="8" s="1"/>
  <c r="H151" i="8"/>
  <c r="I151" i="8" s="1"/>
  <c r="H150" i="8"/>
  <c r="I150" i="8" s="1"/>
  <c r="J150" i="8" s="1"/>
  <c r="H149" i="8"/>
  <c r="I149" i="8" s="1"/>
  <c r="K148" i="8"/>
  <c r="I148" i="8"/>
  <c r="J148" i="8" s="1"/>
  <c r="H148" i="8"/>
  <c r="I147" i="8"/>
  <c r="K147" i="8" s="1"/>
  <c r="H147" i="8"/>
  <c r="I145" i="8"/>
  <c r="H145" i="8"/>
  <c r="I144" i="8"/>
  <c r="K144" i="8" s="1"/>
  <c r="H144" i="8"/>
  <c r="I143" i="8"/>
  <c r="K143" i="8" s="1"/>
  <c r="H143" i="8"/>
  <c r="H142" i="8"/>
  <c r="I142" i="8" s="1"/>
  <c r="H141" i="8"/>
  <c r="I141" i="8" s="1"/>
  <c r="H140" i="8"/>
  <c r="I140" i="8" s="1"/>
  <c r="J140" i="8" s="1"/>
  <c r="H139" i="8"/>
  <c r="I139" i="8" s="1"/>
  <c r="K138" i="8"/>
  <c r="I138" i="8"/>
  <c r="J138" i="8" s="1"/>
  <c r="H138" i="8"/>
  <c r="I136" i="8"/>
  <c r="K136" i="8" s="1"/>
  <c r="H136" i="8"/>
  <c r="I135" i="8"/>
  <c r="H135" i="8"/>
  <c r="I134" i="8"/>
  <c r="K134" i="8" s="1"/>
  <c r="H134" i="8"/>
  <c r="I133" i="8"/>
  <c r="K133" i="8" s="1"/>
  <c r="H133" i="8"/>
  <c r="H132" i="8"/>
  <c r="I132" i="8" s="1"/>
  <c r="H131" i="8"/>
  <c r="I131" i="8" s="1"/>
  <c r="H130" i="8"/>
  <c r="I130" i="8" s="1"/>
  <c r="J130" i="8" s="1"/>
  <c r="H129" i="8"/>
  <c r="I129" i="8" s="1"/>
  <c r="K127" i="8"/>
  <c r="I127" i="8"/>
  <c r="J127" i="8" s="1"/>
  <c r="H127" i="8"/>
  <c r="I126" i="8"/>
  <c r="K126" i="8" s="1"/>
  <c r="H126" i="8"/>
  <c r="I125" i="8"/>
  <c r="H125" i="8"/>
  <c r="I124" i="8"/>
  <c r="K124" i="8" s="1"/>
  <c r="H124" i="8"/>
  <c r="I123" i="8"/>
  <c r="K123" i="8" s="1"/>
  <c r="H123" i="8"/>
  <c r="H122" i="8"/>
  <c r="I122" i="8" s="1"/>
  <c r="H121" i="8"/>
  <c r="I121" i="8" s="1"/>
  <c r="K120" i="8"/>
  <c r="H120" i="8"/>
  <c r="I120" i="8" s="1"/>
  <c r="J120" i="8" s="1"/>
  <c r="H119" i="8"/>
  <c r="I119" i="8" s="1"/>
  <c r="K117" i="8"/>
  <c r="I117" i="8"/>
  <c r="J117" i="8" s="1"/>
  <c r="H117" i="8"/>
  <c r="I116" i="8"/>
  <c r="K116" i="8" s="1"/>
  <c r="H116" i="8"/>
  <c r="I115" i="8"/>
  <c r="H115" i="8"/>
  <c r="I114" i="8"/>
  <c r="K114" i="8" s="1"/>
  <c r="H114" i="8"/>
  <c r="I113" i="8"/>
  <c r="K113" i="8" s="1"/>
  <c r="H113" i="8"/>
  <c r="H112" i="8"/>
  <c r="I112" i="8" s="1"/>
  <c r="H111" i="8"/>
  <c r="I111" i="8" s="1"/>
  <c r="H110" i="8"/>
  <c r="I110" i="8" s="1"/>
  <c r="J110" i="8" s="1"/>
  <c r="H109" i="8"/>
  <c r="I109" i="8" s="1"/>
  <c r="K108" i="8"/>
  <c r="I108" i="8"/>
  <c r="J108" i="8" s="1"/>
  <c r="H108" i="8"/>
  <c r="I107" i="8"/>
  <c r="K107" i="8" s="1"/>
  <c r="H107" i="8"/>
  <c r="I105" i="8"/>
  <c r="H105" i="8"/>
  <c r="I104" i="8"/>
  <c r="K104" i="8" s="1"/>
  <c r="H104" i="8"/>
  <c r="I103" i="8"/>
  <c r="K103" i="8" s="1"/>
  <c r="H103" i="8"/>
  <c r="H102" i="8"/>
  <c r="I102" i="8" s="1"/>
  <c r="H101" i="8"/>
  <c r="I101" i="8" s="1"/>
  <c r="K100" i="8"/>
  <c r="H100" i="8"/>
  <c r="I100" i="8" s="1"/>
  <c r="J100" i="8" s="1"/>
  <c r="H99" i="8"/>
  <c r="I99" i="8" s="1"/>
  <c r="K98" i="8"/>
  <c r="I98" i="8"/>
  <c r="J98" i="8" s="1"/>
  <c r="H98" i="8"/>
  <c r="I97" i="8"/>
  <c r="J26" i="18" s="1"/>
  <c r="H97" i="8"/>
  <c r="I95" i="8"/>
  <c r="H95" i="8"/>
  <c r="I94" i="8"/>
  <c r="K94" i="8" s="1"/>
  <c r="H94" i="8"/>
  <c r="I93" i="8"/>
  <c r="K93" i="8" s="1"/>
  <c r="H93" i="8"/>
  <c r="H92" i="8"/>
  <c r="I92" i="8" s="1"/>
  <c r="H91" i="8"/>
  <c r="I91" i="8" s="1"/>
  <c r="H90" i="8"/>
  <c r="I90" i="8" s="1"/>
  <c r="J90" i="8" s="1"/>
  <c r="H89" i="8"/>
  <c r="I89" i="8" s="1"/>
  <c r="K88" i="8"/>
  <c r="I88" i="8"/>
  <c r="J88" i="8" s="1"/>
  <c r="H88" i="8"/>
  <c r="I87" i="8"/>
  <c r="K87" i="8" s="1"/>
  <c r="H87" i="8"/>
  <c r="I85" i="8"/>
  <c r="H85" i="8"/>
  <c r="I84" i="8"/>
  <c r="K84" i="8" s="1"/>
  <c r="H84" i="8"/>
  <c r="I83" i="8"/>
  <c r="K83" i="8" s="1"/>
  <c r="H83" i="8"/>
  <c r="H82" i="8"/>
  <c r="I82" i="8" s="1"/>
  <c r="H81" i="8"/>
  <c r="I81" i="8" s="1"/>
  <c r="H80" i="8"/>
  <c r="I80" i="8" s="1"/>
  <c r="J80" i="8" s="1"/>
  <c r="H79" i="8"/>
  <c r="I79" i="8" s="1"/>
  <c r="K78" i="8"/>
  <c r="I78" i="8"/>
  <c r="J78" i="8" s="1"/>
  <c r="H78" i="8"/>
  <c r="I77" i="8"/>
  <c r="K77" i="8" s="1"/>
  <c r="H77" i="8"/>
  <c r="I76" i="8"/>
  <c r="H76" i="8"/>
  <c r="I74" i="8"/>
  <c r="K74" i="8" s="1"/>
  <c r="H74" i="8"/>
  <c r="I73" i="8"/>
  <c r="K73" i="8" s="1"/>
  <c r="H73" i="8"/>
  <c r="H72" i="8"/>
  <c r="I72" i="8" s="1"/>
  <c r="H71" i="8"/>
  <c r="I71" i="8" s="1"/>
  <c r="H70" i="8"/>
  <c r="I70" i="8" s="1"/>
  <c r="J70" i="8" s="1"/>
  <c r="H69" i="8"/>
  <c r="I69" i="8" s="1"/>
  <c r="K68" i="8"/>
  <c r="I68" i="8"/>
  <c r="J68" i="8" s="1"/>
  <c r="H68" i="8"/>
  <c r="I67" i="8"/>
  <c r="K67" i="8" s="1"/>
  <c r="H67" i="8"/>
  <c r="I66" i="8"/>
  <c r="H66" i="8"/>
  <c r="I64" i="8"/>
  <c r="K64" i="8" s="1"/>
  <c r="H64" i="8"/>
  <c r="I63" i="8"/>
  <c r="K63" i="8" s="1"/>
  <c r="H63" i="8"/>
  <c r="H62" i="8"/>
  <c r="I62" i="8" s="1"/>
  <c r="H61" i="8"/>
  <c r="I61" i="8" s="1"/>
  <c r="H60" i="8"/>
  <c r="I60" i="8" s="1"/>
  <c r="J60" i="8" s="1"/>
  <c r="H59" i="8"/>
  <c r="I59" i="8" s="1"/>
  <c r="K58" i="8"/>
  <c r="I58" i="8"/>
  <c r="J58" i="8" s="1"/>
  <c r="H58" i="8"/>
  <c r="I57" i="8"/>
  <c r="K57" i="8" s="1"/>
  <c r="H57" i="8"/>
  <c r="I56" i="8"/>
  <c r="H56" i="8"/>
  <c r="I54" i="8"/>
  <c r="K54" i="8" s="1"/>
  <c r="H54" i="8"/>
  <c r="I53" i="8"/>
  <c r="K53" i="8" s="1"/>
  <c r="H53" i="8"/>
  <c r="H52" i="8"/>
  <c r="I52" i="8" s="1"/>
  <c r="H51" i="8"/>
  <c r="I51" i="8" s="1"/>
  <c r="H50" i="8"/>
  <c r="I50" i="8" s="1"/>
  <c r="J50" i="8" s="1"/>
  <c r="H49" i="8"/>
  <c r="I49" i="8" s="1"/>
  <c r="K48" i="8"/>
  <c r="I48" i="8"/>
  <c r="J48" i="8" s="1"/>
  <c r="H48" i="8"/>
  <c r="I47" i="8"/>
  <c r="K47" i="8" s="1"/>
  <c r="H47" i="8"/>
  <c r="I45" i="8"/>
  <c r="H45" i="8"/>
  <c r="I44" i="8"/>
  <c r="K44" i="8" s="1"/>
  <c r="H44" i="8"/>
  <c r="I43" i="8"/>
  <c r="K43" i="8" s="1"/>
  <c r="H43" i="8"/>
  <c r="H42" i="8"/>
  <c r="I42" i="8" s="1"/>
  <c r="H41" i="8"/>
  <c r="I41" i="8" s="1"/>
  <c r="H40" i="8"/>
  <c r="I40" i="8" s="1"/>
  <c r="J40" i="8" s="1"/>
  <c r="K39" i="8"/>
  <c r="J39" i="8"/>
  <c r="I39" i="8"/>
  <c r="H39" i="8"/>
  <c r="K38" i="8"/>
  <c r="I38" i="8"/>
  <c r="J38" i="8" s="1"/>
  <c r="H38" i="8"/>
  <c r="I37" i="8"/>
  <c r="K37" i="8" s="1"/>
  <c r="H37" i="8"/>
  <c r="I36" i="8"/>
  <c r="H36" i="8"/>
  <c r="J34" i="8"/>
  <c r="I34" i="8"/>
  <c r="K34" i="8" s="1"/>
  <c r="H34" i="8"/>
  <c r="I33" i="8"/>
  <c r="K33" i="8" s="1"/>
  <c r="H33" i="8"/>
  <c r="H32" i="8"/>
  <c r="I32" i="8" s="1"/>
  <c r="H31" i="8"/>
  <c r="I31" i="8" s="1"/>
  <c r="H30" i="8"/>
  <c r="I30" i="8" s="1"/>
  <c r="J30" i="8" s="1"/>
  <c r="K29" i="8"/>
  <c r="J29" i="8"/>
  <c r="I29" i="8"/>
  <c r="H29" i="8"/>
  <c r="K28" i="8"/>
  <c r="I28" i="8"/>
  <c r="J28" i="8" s="1"/>
  <c r="H28" i="8"/>
  <c r="I27" i="8"/>
  <c r="H27" i="8"/>
  <c r="I25" i="8"/>
  <c r="K25" i="8" s="1"/>
  <c r="H25" i="8"/>
  <c r="I24" i="8"/>
  <c r="K24" i="8" s="1"/>
  <c r="H24" i="8"/>
  <c r="I23" i="8"/>
  <c r="K23" i="8" s="1"/>
  <c r="H23" i="8"/>
  <c r="H22" i="8"/>
  <c r="I22" i="8" s="1"/>
  <c r="H21" i="8"/>
  <c r="I21" i="8" s="1"/>
  <c r="K20" i="8"/>
  <c r="H20" i="8"/>
  <c r="I20" i="8" s="1"/>
  <c r="J20" i="8" s="1"/>
  <c r="K19" i="8"/>
  <c r="J19" i="8"/>
  <c r="I19" i="8"/>
  <c r="H19" i="8"/>
  <c r="K18" i="8"/>
  <c r="I18" i="8"/>
  <c r="J18" i="8" s="1"/>
  <c r="H18" i="8"/>
  <c r="I17" i="8"/>
  <c r="K17" i="8" s="1"/>
  <c r="H17" i="8"/>
  <c r="I15" i="8"/>
  <c r="H15" i="8"/>
  <c r="I14" i="8"/>
  <c r="K14" i="8" s="1"/>
  <c r="H14" i="8"/>
  <c r="I13" i="8"/>
  <c r="K13" i="8" s="1"/>
  <c r="H13" i="8"/>
  <c r="H12" i="8"/>
  <c r="I12" i="8" s="1"/>
  <c r="H11" i="8"/>
  <c r="I11" i="8" s="1"/>
  <c r="H10" i="8"/>
  <c r="I10" i="8" s="1"/>
  <c r="J10" i="8" s="1"/>
  <c r="K9" i="8"/>
  <c r="J9" i="8"/>
  <c r="I9" i="8"/>
  <c r="H9" i="8"/>
  <c r="K8" i="8"/>
  <c r="I8" i="8"/>
  <c r="J8" i="8" s="1"/>
  <c r="H8" i="8"/>
  <c r="I7" i="8"/>
  <c r="K7" i="8" s="1"/>
  <c r="H7" i="8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B4" i="1"/>
  <c r="K130" i="8" l="1"/>
  <c r="K89" i="8"/>
  <c r="J89" i="8"/>
  <c r="K178" i="8"/>
  <c r="J178" i="8"/>
  <c r="J19" i="18"/>
  <c r="K36" i="8"/>
  <c r="J36" i="8"/>
  <c r="J20" i="18"/>
  <c r="K101" i="8"/>
  <c r="J101" i="8"/>
  <c r="K91" i="8"/>
  <c r="J91" i="8"/>
  <c r="J170" i="8"/>
  <c r="K33" i="18" s="1"/>
  <c r="J33" i="18"/>
  <c r="K69" i="8"/>
  <c r="J69" i="8"/>
  <c r="K80" i="8"/>
  <c r="K92" i="8"/>
  <c r="J92" i="8"/>
  <c r="J125" i="8"/>
  <c r="K125" i="8"/>
  <c r="K158" i="8"/>
  <c r="J158" i="8"/>
  <c r="K170" i="8"/>
  <c r="J145" i="8"/>
  <c r="K145" i="8"/>
  <c r="J18" i="16"/>
  <c r="K59" i="8"/>
  <c r="J59" i="8"/>
  <c r="K70" i="8"/>
  <c r="K82" i="8"/>
  <c r="J82" i="8"/>
  <c r="J115" i="8"/>
  <c r="K115" i="8"/>
  <c r="K149" i="8"/>
  <c r="J149" i="8"/>
  <c r="K172" i="8"/>
  <c r="J172" i="8"/>
  <c r="K10" i="8"/>
  <c r="K71" i="8"/>
  <c r="J71" i="8"/>
  <c r="K161" i="8"/>
  <c r="J161" i="8"/>
  <c r="J27" i="16"/>
  <c r="J56" i="8"/>
  <c r="K22" i="18" s="1"/>
  <c r="K56" i="8"/>
  <c r="J22" i="18"/>
  <c r="K81" i="8"/>
  <c r="J81" i="8"/>
  <c r="J160" i="8"/>
  <c r="J32" i="18"/>
  <c r="K171" i="8"/>
  <c r="J171" i="8"/>
  <c r="K11" i="8"/>
  <c r="J11" i="8"/>
  <c r="K49" i="8"/>
  <c r="J49" i="8"/>
  <c r="K60" i="8"/>
  <c r="K72" i="8"/>
  <c r="J72" i="8"/>
  <c r="J105" i="8"/>
  <c r="K105" i="8"/>
  <c r="K139" i="8"/>
  <c r="J139" i="8"/>
  <c r="K30" i="18" s="1"/>
  <c r="K150" i="8"/>
  <c r="K162" i="8"/>
  <c r="J162" i="8"/>
  <c r="G34" i="18"/>
  <c r="K40" i="8"/>
  <c r="J85" i="8"/>
  <c r="K85" i="8"/>
  <c r="K31" i="8"/>
  <c r="J31" i="8"/>
  <c r="E15" i="19"/>
  <c r="L26" i="18"/>
  <c r="F15" i="19" s="1"/>
  <c r="K142" i="8"/>
  <c r="J142" i="8"/>
  <c r="K12" i="8"/>
  <c r="J12" i="8"/>
  <c r="K21" i="8"/>
  <c r="J21" i="8"/>
  <c r="K61" i="8"/>
  <c r="J61" i="8"/>
  <c r="K151" i="8"/>
  <c r="J151" i="8"/>
  <c r="K22" i="8"/>
  <c r="J22" i="8"/>
  <c r="K30" i="8"/>
  <c r="K50" i="8"/>
  <c r="K62" i="8"/>
  <c r="J62" i="8"/>
  <c r="J95" i="8"/>
  <c r="K95" i="8"/>
  <c r="K129" i="8"/>
  <c r="J129" i="8"/>
  <c r="K29" i="18" s="1"/>
  <c r="J29" i="18"/>
  <c r="K140" i="8"/>
  <c r="K152" i="8"/>
  <c r="J152" i="8"/>
  <c r="K141" i="8"/>
  <c r="J141" i="8"/>
  <c r="K175" i="8"/>
  <c r="J175" i="8"/>
  <c r="K41" i="8"/>
  <c r="J41" i="8"/>
  <c r="K131" i="8"/>
  <c r="J131" i="8"/>
  <c r="K51" i="8"/>
  <c r="J51" i="8"/>
  <c r="K132" i="8"/>
  <c r="J132" i="8"/>
  <c r="K121" i="8"/>
  <c r="J121" i="8"/>
  <c r="K32" i="8"/>
  <c r="J32" i="8"/>
  <c r="J15" i="8"/>
  <c r="K15" i="8"/>
  <c r="J23" i="18"/>
  <c r="J66" i="8"/>
  <c r="K66" i="8"/>
  <c r="K99" i="8"/>
  <c r="J99" i="8"/>
  <c r="K110" i="8"/>
  <c r="K122" i="8"/>
  <c r="J122" i="8"/>
  <c r="J155" i="8"/>
  <c r="K155" i="8"/>
  <c r="J25" i="8"/>
  <c r="K111" i="8"/>
  <c r="J111" i="8"/>
  <c r="K52" i="8"/>
  <c r="J52" i="8"/>
  <c r="J28" i="18"/>
  <c r="K119" i="8"/>
  <c r="J119" i="8"/>
  <c r="K42" i="8"/>
  <c r="J42" i="8"/>
  <c r="J76" i="8"/>
  <c r="K76" i="8"/>
  <c r="J24" i="18"/>
  <c r="K109" i="8"/>
  <c r="J109" i="8"/>
  <c r="J165" i="8"/>
  <c r="K165" i="8"/>
  <c r="K112" i="8"/>
  <c r="J112" i="8"/>
  <c r="J45" i="8"/>
  <c r="K45" i="8"/>
  <c r="K79" i="8"/>
  <c r="J79" i="8"/>
  <c r="K90" i="8"/>
  <c r="K102" i="8"/>
  <c r="J102" i="8"/>
  <c r="J135" i="8"/>
  <c r="K135" i="8"/>
  <c r="K168" i="8"/>
  <c r="J168" i="8"/>
  <c r="K179" i="8"/>
  <c r="N13" i="16"/>
  <c r="N22" i="16"/>
  <c r="N31" i="16"/>
  <c r="J13" i="8"/>
  <c r="J23" i="8"/>
  <c r="J33" i="8"/>
  <c r="J43" i="8"/>
  <c r="J53" i="8"/>
  <c r="J63" i="8"/>
  <c r="J73" i="8"/>
  <c r="J83" i="8"/>
  <c r="J93" i="8"/>
  <c r="J103" i="8"/>
  <c r="J113" i="8"/>
  <c r="J123" i="8"/>
  <c r="J133" i="8"/>
  <c r="J143" i="8"/>
  <c r="J153" i="8"/>
  <c r="J163" i="8"/>
  <c r="J173" i="8"/>
  <c r="J14" i="16"/>
  <c r="J32" i="16"/>
  <c r="J18" i="18"/>
  <c r="J10" i="16"/>
  <c r="J19" i="16"/>
  <c r="J28" i="16"/>
  <c r="J25" i="18"/>
  <c r="J14" i="8"/>
  <c r="J24" i="8"/>
  <c r="J44" i="8"/>
  <c r="J54" i="8"/>
  <c r="J64" i="8"/>
  <c r="J74" i="8"/>
  <c r="J84" i="8"/>
  <c r="J94" i="8"/>
  <c r="J104" i="8"/>
  <c r="J114" i="8"/>
  <c r="J124" i="8"/>
  <c r="J134" i="8"/>
  <c r="J144" i="8"/>
  <c r="J154" i="8"/>
  <c r="J164" i="8"/>
  <c r="J174" i="8"/>
  <c r="L10" i="16"/>
  <c r="L19" i="16"/>
  <c r="L28" i="16"/>
  <c r="J21" i="18"/>
  <c r="J17" i="18"/>
  <c r="I37" i="16"/>
  <c r="J7" i="16"/>
  <c r="J31" i="18"/>
  <c r="L7" i="16"/>
  <c r="L16" i="16"/>
  <c r="L25" i="16"/>
  <c r="L34" i="16"/>
  <c r="L7" i="18"/>
  <c r="L11" i="18" s="1"/>
  <c r="F12" i="18" s="1"/>
  <c r="D8" i="18"/>
  <c r="J27" i="18"/>
  <c r="J7" i="8"/>
  <c r="J17" i="8"/>
  <c r="K18" i="18" s="1"/>
  <c r="J27" i="8"/>
  <c r="K19" i="18" s="1"/>
  <c r="J37" i="8"/>
  <c r="J47" i="8"/>
  <c r="J57" i="8"/>
  <c r="J67" i="8"/>
  <c r="J77" i="8"/>
  <c r="J87" i="8"/>
  <c r="J97" i="8"/>
  <c r="J107" i="8"/>
  <c r="J116" i="8"/>
  <c r="J126" i="8"/>
  <c r="J136" i="8"/>
  <c r="J147" i="8"/>
  <c r="K31" i="18" s="1"/>
  <c r="J156" i="8"/>
  <c r="J166" i="8"/>
  <c r="J176" i="8"/>
  <c r="K27" i="8"/>
  <c r="K97" i="8"/>
  <c r="J30" i="18"/>
  <c r="L25" i="18" l="1"/>
  <c r="F14" i="19" s="1"/>
  <c r="E14" i="19"/>
  <c r="L27" i="18"/>
  <c r="F16" i="19" s="1"/>
  <c r="E16" i="19"/>
  <c r="J34" i="18"/>
  <c r="D9" i="18"/>
  <c r="L34" i="18" s="1"/>
  <c r="K24" i="18"/>
  <c r="L17" i="18"/>
  <c r="F6" i="19" s="1"/>
  <c r="E6" i="19"/>
  <c r="E38" i="16"/>
  <c r="D38" i="16"/>
  <c r="J31" i="16"/>
  <c r="J22" i="16"/>
  <c r="J13" i="16"/>
  <c r="C38" i="16"/>
  <c r="N37" i="16"/>
  <c r="J30" i="16"/>
  <c r="J21" i="16"/>
  <c r="J12" i="16"/>
  <c r="J37" i="16"/>
  <c r="J29" i="16"/>
  <c r="J20" i="16"/>
  <c r="J11" i="16"/>
  <c r="J33" i="16"/>
  <c r="J24" i="16"/>
  <c r="J15" i="16"/>
  <c r="J6" i="16"/>
  <c r="I38" i="16"/>
  <c r="H38" i="16"/>
  <c r="G38" i="16"/>
  <c r="F38" i="16"/>
  <c r="K21" i="18"/>
  <c r="K23" i="18"/>
  <c r="L21" i="18"/>
  <c r="F10" i="19" s="1"/>
  <c r="E10" i="19"/>
  <c r="L23" i="18"/>
  <c r="F12" i="19" s="1"/>
  <c r="E12" i="19"/>
  <c r="E11" i="19"/>
  <c r="L22" i="18"/>
  <c r="F11" i="19" s="1"/>
  <c r="K28" i="18"/>
  <c r="E22" i="19"/>
  <c r="L33" i="18"/>
  <c r="F22" i="19" s="1"/>
  <c r="E18" i="19"/>
  <c r="L29" i="18"/>
  <c r="F18" i="19" s="1"/>
  <c r="E7" i="19"/>
  <c r="L18" i="18"/>
  <c r="F7" i="19" s="1"/>
  <c r="J35" i="16"/>
  <c r="E17" i="19"/>
  <c r="L28" i="18"/>
  <c r="F17" i="19" s="1"/>
  <c r="L30" i="18"/>
  <c r="F19" i="19" s="1"/>
  <c r="E19" i="19"/>
  <c r="J9" i="16"/>
  <c r="K20" i="18"/>
  <c r="K27" i="18"/>
  <c r="K26" i="18"/>
  <c r="J17" i="16"/>
  <c r="K34" i="18"/>
  <c r="K17" i="18"/>
  <c r="L31" i="18"/>
  <c r="F20" i="19" s="1"/>
  <c r="E20" i="19"/>
  <c r="K25" i="18"/>
  <c r="J25" i="16"/>
  <c r="J8" i="16"/>
  <c r="E9" i="19"/>
  <c r="L20" i="18"/>
  <c r="F9" i="19" s="1"/>
  <c r="J23" i="16"/>
  <c r="J26" i="16"/>
  <c r="E8" i="19"/>
  <c r="L19" i="18"/>
  <c r="F8" i="19" s="1"/>
  <c r="J34" i="16"/>
  <c r="J16" i="16"/>
  <c r="E13" i="19"/>
  <c r="L24" i="18"/>
  <c r="F13" i="19" s="1"/>
  <c r="E21" i="19"/>
  <c r="L32" i="18"/>
  <c r="F21" i="19" s="1"/>
  <c r="J36" i="16"/>
  <c r="K32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5" authorId="0" shapeId="0" xr:uid="{00000000-0006-0000-0600-000001000000}">
      <text>
        <r>
          <rPr>
            <sz val="10"/>
            <rFont val="Arial"/>
            <family val="2"/>
          </rPr>
          <t>Turns red when the due date has passed and nothing has been received.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5" authorId="0" shapeId="0" xr:uid="{00000000-0006-0000-0700-000001000000}">
      <text>
        <r>
          <rPr>
            <sz val="10"/>
            <rFont val="Arial"/>
            <family val="2"/>
          </rPr>
          <t>Score against the Maturity Model tab. Use N/A where the question does not apply; N/A is excluded from all averages.</t>
        </r>
      </text>
    </comment>
    <comment ref="H5" authorId="0" shapeId="0" xr:uid="{00000000-0006-0000-0700-000002000000}">
      <text>
        <r>
          <rPr>
            <sz val="10"/>
            <rFont val="Arial"/>
            <family val="2"/>
          </rPr>
          <t>Defaults to the Default target maturity setting on the Engagement tab. Overwrite for questions where the target differs.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16" authorId="0" shapeId="0" xr:uid="{00000000-0006-0000-1100-000001000000}">
      <text>
        <r>
          <rPr>
            <sz val="10"/>
            <rFont val="Arial"/>
            <family val="2"/>
          </rPr>
          <t>Average weighted gap (shortfall × importance, 1–3) across scored questions. Higher = greater priority for improvement.</t>
        </r>
      </text>
    </comment>
  </commentList>
</comments>
</file>

<file path=xl/sharedStrings.xml><?xml version="1.0" encoding="utf-8"?>
<sst xmlns="http://schemas.openxmlformats.org/spreadsheetml/2006/main" count="4145" uniqueCount="3151">
  <si>
    <t>Operating Model Assessment Toolkit</t>
  </si>
  <si>
    <t>CTO Consulting  |  Business Analysis Practice</t>
  </si>
  <si>
    <t>Purpose</t>
  </si>
  <si>
    <t>A structured toolkit for an exhaustive assessment of how an organisation delivers value: its strategy, customers, services, processes, capabilities, structure, governance, people, culture, performance management, technology, data, suppliers, locations, risk and compliance, finances and change capability. It combines a 157-question maturity diagnostic across 17 dimensions with the planning tools, current-state inventories, analysis and outputs needed to move from evidence to a prioritised set of recommendations.</t>
  </si>
  <si>
    <t>How to use this workbook</t>
  </si>
  <si>
    <t>1. Mobilise</t>
  </si>
  <si>
    <t>Complete the Engagement tab: client details, objectives, scope, hypotheses, design principles and assessment settings.</t>
  </si>
  <si>
    <t>2. Plan</t>
  </si>
  <si>
    <t>Register stakeholders, tailor the Interview Guides and issue the Document Requests list.</t>
  </si>
  <si>
    <t>3. Discover</t>
  </si>
  <si>
    <t>Run interviews and workshops, review documents and populate the current-state inventories (Capabilities, Processes, Org Structure, Decision Rights, Applications, Suppliers, Locations, Cost Baseline).</t>
  </si>
  <si>
    <t>4. Assess</t>
  </si>
  <si>
    <t>Score each question on the Assessment tab (current and target maturity, 1–5 or N/A) against the Maturity Model and 'What good looks like'. Record the evidence reviewed and your confidence in it.</t>
  </si>
  <si>
    <t>5. Analyse</t>
  </si>
  <si>
    <t>Log findings and root causes on the Findings tab, validate them with stakeholders and review the Dashboard.</t>
  </si>
  <si>
    <t>6. Recommend</t>
  </si>
  <si>
    <t>Describe the current and target state and key shifts on Current vs Target; log, score and sequence recommendations.</t>
  </si>
  <si>
    <t>7. Tailor</t>
  </si>
  <si>
    <t>Add questions by inserting rows inside a dimension block and copying the formulas down. Dropdown values and span benchmarks are maintained on the Lists tab.</t>
  </si>
  <si>
    <t>Workbook map</t>
  </si>
  <si>
    <t>Phase</t>
  </si>
  <si>
    <t>Tab</t>
  </si>
  <si>
    <t>Set up</t>
  </si>
  <si>
    <t>Engagement</t>
  </si>
  <si>
    <t>Client details, objectives, scope, hypotheses, design principles and assessment settings.</t>
  </si>
  <si>
    <t>Reference</t>
  </si>
  <si>
    <t>Framework</t>
  </si>
  <si>
    <t>The 17 dimensions, definitions and mapping to recognised frameworks, plus the assessment approach.</t>
  </si>
  <si>
    <t>Maturity Model</t>
  </si>
  <si>
    <t>Five-level maturity descriptors for each dimension.</t>
  </si>
  <si>
    <t>Plan</t>
  </si>
  <si>
    <t>Stakeholders</t>
  </si>
  <si>
    <t>Stakeholder register, influence and interest, and interview schedule.</t>
  </si>
  <si>
    <t>Interview Guides</t>
  </si>
  <si>
    <t>Interview questions for ten stakeholder groups, mapped to dimensions.</t>
  </si>
  <si>
    <t>Document Requests</t>
  </si>
  <si>
    <t>69 pre-populated document and data requests with tracking.</t>
  </si>
  <si>
    <t>Discover &amp; assess</t>
  </si>
  <si>
    <t>Assessment</t>
  </si>
  <si>
    <t>157-question maturity diagnostic with evidence, confidence, gap and RAG.</t>
  </si>
  <si>
    <t>Capabilities</t>
  </si>
  <si>
    <t>Level 1 / Level 2 business capability map with importance, maturity and priority heat map.</t>
  </si>
  <si>
    <t>Processes</t>
  </si>
  <si>
    <t>Value streams and processes with documentation, automation and performance data.</t>
  </si>
  <si>
    <t>Org Structure</t>
  </si>
  <si>
    <t>Workforce mix, spans of control, layers and cost by business unit.</t>
  </si>
  <si>
    <t>Decision Rights</t>
  </si>
  <si>
    <t>RAPID matrix for key decisions with checks for missing or multiple deciders.</t>
  </si>
  <si>
    <t>Applications</t>
  </si>
  <si>
    <t>Application portfolio with TIME classification and support expiry.</t>
  </si>
  <si>
    <t>Suppliers</t>
  </si>
  <si>
    <t>Supplier register with segmentation, expiry and dependency risk.</t>
  </si>
  <si>
    <t>Locations</t>
  </si>
  <si>
    <t>Site footprint, utilisation, leases and property cost.</t>
  </si>
  <si>
    <t>Cost Baseline</t>
  </si>
  <si>
    <t>Operating cost by business unit and cost type, cost per FTE and change spend.</t>
  </si>
  <si>
    <t>Analyse</t>
  </si>
  <si>
    <t>Findings</t>
  </si>
  <si>
    <t>Findings log with evidence, root cause, impact and severity.</t>
  </si>
  <si>
    <t>Dashboard</t>
  </si>
  <si>
    <t>Maturity profile, gaps, RAG, findings, recommendation profile and charts.</t>
  </si>
  <si>
    <t>Recommend</t>
  </si>
  <si>
    <t>Current vs Target</t>
  </si>
  <si>
    <t>Current state, target state and key shifts for each dimension.</t>
  </si>
  <si>
    <t>Recommendations</t>
  </si>
  <si>
    <t>Recommendations scored by value and ease, categorised and sequenced by horizon.</t>
  </si>
  <si>
    <t>Lists</t>
  </si>
  <si>
    <t>Dropdown values, span-of-control benchmarks and importance weights.</t>
  </si>
  <si>
    <t>Cell legend</t>
  </si>
  <si>
    <t>Input</t>
  </si>
  <si>
    <t>Enter or select a value (dropdowns where shown).</t>
  </si>
  <si>
    <t>Calculated</t>
  </si>
  <si>
    <t>Formula. Do not overwrite.</t>
  </si>
  <si>
    <t>Linked</t>
  </si>
  <si>
    <t>Pulled from another tab (green text).</t>
  </si>
  <si>
    <t>Example row</t>
  </si>
  <si>
    <t>Shows the expected format. Overwrite or delete; excluded from totals and the Dashboard.</t>
  </si>
  <si>
    <t>Reference content</t>
  </si>
  <si>
    <t>Pre-populated guidance. Tailor to the client where needed.</t>
  </si>
  <si>
    <t>Maturity scale</t>
  </si>
  <si>
    <t>1 – Initial</t>
  </si>
  <si>
    <t>Ad hoc, undocumented and person-dependent. Outcomes are unpredictable and largely reactive.</t>
  </si>
  <si>
    <t>2 – Developing</t>
  </si>
  <si>
    <t>Some practices are defined but applied inconsistently. Limited measurement; still largely reactive.</t>
  </si>
  <si>
    <t>3 – Defined</t>
  </si>
  <si>
    <t>Practices are documented, standardised and applied consistently across the organisation.</t>
  </si>
  <si>
    <t>4 – Managed</t>
  </si>
  <si>
    <t>Practices are measured and actively managed against targets. Decisions are data-driven.</t>
  </si>
  <si>
    <t>5 – Optimised</t>
  </si>
  <si>
    <t>Continuous improvement is embedded. Leading practice that adapts quickly to change.</t>
  </si>
  <si>
    <t>N/A – Not applicable</t>
  </si>
  <si>
    <t>Not relevant to this organisation or outside the agreed scope. Excluded from averages.</t>
  </si>
  <si>
    <t>RAG ratings compare target and current maturity using the thresholds on the Engagement tab (defaults: Red when the gap is 1.5 or more, Amber from 0.75, otherwise Green).</t>
  </si>
  <si>
    <t>Engagement Details</t>
  </si>
  <si>
    <t>Complete this tab first. Settings in the Assessment settings table drive formulas across the workbook.</t>
  </si>
  <si>
    <t>Engagement details</t>
  </si>
  <si>
    <t>Client organisation</t>
  </si>
  <si>
    <t>Industry / sector</t>
  </si>
  <si>
    <t>Engagement name</t>
  </si>
  <si>
    <t>Client sponsor</t>
  </si>
  <si>
    <t>CTO Consulting engagement lead</t>
  </si>
  <si>
    <t>Assessment team</t>
  </si>
  <si>
    <t>Start date</t>
  </si>
  <si>
    <t>Target completion date</t>
  </si>
  <si>
    <t>Workbook version</t>
  </si>
  <si>
    <t>0.1</t>
  </si>
  <si>
    <t>Engagement status</t>
  </si>
  <si>
    <t>Mobilising</t>
  </si>
  <si>
    <t>Engagement objectives</t>
  </si>
  <si>
    <t>Objective 1</t>
  </si>
  <si>
    <t>Objective 2</t>
  </si>
  <si>
    <t>Objective 3</t>
  </si>
  <si>
    <t>Objective 4</t>
  </si>
  <si>
    <t>Objective 5</t>
  </si>
  <si>
    <t>Scope</t>
  </si>
  <si>
    <t>In-scope business units / functions</t>
  </si>
  <si>
    <t>In-scope locations / geographies</t>
  </si>
  <si>
    <t>Dimensions in scope</t>
  </si>
  <si>
    <t>All 17 dimensions</t>
  </si>
  <si>
    <t>Out of scope</t>
  </si>
  <si>
    <t>Key constraints and assumptions</t>
  </si>
  <si>
    <t>Key hypotheses to test</t>
  </si>
  <si>
    <t>Hypothesis 1</t>
  </si>
  <si>
    <t>Hypothesis 2</t>
  </si>
  <si>
    <t>Hypothesis 3</t>
  </si>
  <si>
    <t>Hypothesis 4</t>
  </si>
  <si>
    <t>Hypothesis 5</t>
  </si>
  <si>
    <t>Assessment settings</t>
  </si>
  <si>
    <t>Setting</t>
  </si>
  <si>
    <t>Value</t>
  </si>
  <si>
    <t>How it is used</t>
  </si>
  <si>
    <t>Default target maturity (1–5)</t>
  </si>
  <si>
    <t>Pre-fills the Target Maturity column on the Assessment tab. Overwrite individual questions where the target differs.</t>
  </si>
  <si>
    <t>RAG: Red when maturity gap is at least</t>
  </si>
  <si>
    <t>Gap = target minus current. Applied to questions and dimension averages.</t>
  </si>
  <si>
    <t>RAG: Amber when maturity gap is at least</t>
  </si>
  <si>
    <t>Gaps below this threshold are Green.</t>
  </si>
  <si>
    <t>Prioritisation threshold (Value and Ease, 1–5)</t>
  </si>
  <si>
    <t>Recommendations with Value and Ease at or above this score are Quick wins; high Value / low Ease are Strategic initiatives.</t>
  </si>
  <si>
    <t>Maximum management layers (CEO = layer 1)</t>
  </si>
  <si>
    <t>Org Structure flags business units whose deepest reporting line exceeds this.</t>
  </si>
  <si>
    <t>Contract / lease / support expiry warning (days)</t>
  </si>
  <si>
    <t>Flags suppliers, leases and applications approaching expiry.</t>
  </si>
  <si>
    <t>Application TIME fit threshold (1–5)</t>
  </si>
  <si>
    <t>Business and technical fit at or above this are 'high' when classifying applications as Tolerate, Invest, Migrate or Eliminate.</t>
  </si>
  <si>
    <t>Operating model design principles (agreed with the client)</t>
  </si>
  <si>
    <t>Principle</t>
  </si>
  <si>
    <t>Rationale</t>
  </si>
  <si>
    <t>Implications for operating model design</t>
  </si>
  <si>
    <t>Status</t>
  </si>
  <si>
    <t>Example: Standardise unless differentiating</t>
  </si>
  <si>
    <t>Variation adds cost, risk and complexity without adding customer value.</t>
  </si>
  <si>
    <t>Common processes and systems across business units; local variation requires a documented case.</t>
  </si>
  <si>
    <t>Proposed</t>
  </si>
  <si>
    <t>Operating Model Framework</t>
  </si>
  <si>
    <t>17 dimensions synthesised from the Operating Model Canvas (POLISM), McKinsey 7S, the Galbraith Star Model and TOGAF / BIZBOK business architecture.</t>
  </si>
  <si>
    <t>Code</t>
  </si>
  <si>
    <t>Dimension</t>
  </si>
  <si>
    <t>Definition</t>
  </si>
  <si>
    <t>Key sub-components assessed</t>
  </si>
  <si>
    <t>Key question answered</t>
  </si>
  <si>
    <t>Operating Model Canvas</t>
  </si>
  <si>
    <t>McKinsey 7S</t>
  </si>
  <si>
    <t>Galbraith Star</t>
  </si>
  <si>
    <t>TOGAF / BIZBOK</t>
  </si>
  <si>
    <t>Standards &amp; references</t>
  </si>
  <si>
    <t>Questions (#)</t>
  </si>
  <si>
    <t>D01</t>
  </si>
  <si>
    <t>Strategy &amp; Direction</t>
  </si>
  <si>
    <t>The organisation's purpose, strategic objectives and the explicit choices the operating model must enable.</t>
  </si>
  <si>
    <t>Purpose and vision; strategic objectives; strategic choices; external environment; design principles; strategy-to-execution alignment; ESG</t>
  </si>
  <si>
    <t>Is it clear what the operating model must deliver, and are the strategic choices explicit?</t>
  </si>
  <si>
    <t>Value proposition (context for all elements)</t>
  </si>
  <si>
    <t>Strategy; Shared values</t>
  </si>
  <si>
    <t>Strategy</t>
  </si>
  <si>
    <t>Business motivation (drivers, goals, objectives)</t>
  </si>
  <si>
    <t>Balanced Scorecard; PESTLE / SWOT; Playing to Win; ASX Corporate Governance Principles</t>
  </si>
  <si>
    <t>D02</t>
  </si>
  <si>
    <t>Customers, Channels &amp; Value Proposition</t>
  </si>
  <si>
    <t>Who the organisation serves, what value it offers each segment, and how customers access and experience its services.</t>
  </si>
  <si>
    <t>Segments; value proposition; customer journeys; channel strategy; omnichannel consistency; voice of customer; service standards; accessibility</t>
  </si>
  <si>
    <t>Does the organisation understand and consistently deliver what its customers value, through the right channels?</t>
  </si>
  <si>
    <t>Value delivery chain (beneficiaries)</t>
  </si>
  <si>
    <t>Business architecture (actors, stakeholders, business services)</t>
  </si>
  <si>
    <t>Service design; NPS / CSAT / CES; WCAG 2.2; BIZBOK stakeholder mapping</t>
  </si>
  <si>
    <t>D03</t>
  </si>
  <si>
    <t>Products &amp; Services</t>
  </si>
  <si>
    <t>The portfolio of products and services the organisation delivers, and how that portfolio is owned, managed and evolved.</t>
  </si>
  <si>
    <t>Service catalogue; portfolio performance; ownership; lifecycle; complexity; innovation pipeline; pricing and funding; product obligations</t>
  </si>
  <si>
    <t>Is the portfolio of products and services clear, owned and actively managed for value?</t>
  </si>
  <si>
    <t>Value delivery chain</t>
  </si>
  <si>
    <t>Business services / products</t>
  </si>
  <si>
    <t>Product lifecycle management; ITIL 4 service catalogue; ASIC design and distribution obligations (where applicable)</t>
  </si>
  <si>
    <t>D04</t>
  </si>
  <si>
    <t>Value Streams &amp; Processes</t>
  </si>
  <si>
    <t>The end-to-end value streams and business processes through which work flows to deliver outcomes.</t>
  </si>
  <si>
    <t>Value streams; process architecture; ownership; documentation; standardisation; efficiency; automation; performance; hand-offs; embedded controls</t>
  </si>
  <si>
    <t>Does work flow efficiently, consistently and under control from trigger to outcome?</t>
  </si>
  <si>
    <t>Processes (value delivery chain)</t>
  </si>
  <si>
    <t>Systems</t>
  </si>
  <si>
    <t>Business process; BIZBOK value streams</t>
  </si>
  <si>
    <t>APQC Process Classification Framework; BPMN 2.0; Lean; Six Sigma; process mining</t>
  </si>
  <si>
    <t>D05</t>
  </si>
  <si>
    <t>Business Capabilities</t>
  </si>
  <si>
    <t>What the organisation must be able to do (independent of how), and the maturity of those abilities across people, process, technology and information.</t>
  </si>
  <si>
    <t>Capability map; strategic importance; maturity; ownership; investment alignment; gaps; duplication; sourcing</t>
  </si>
  <si>
    <t>Does the organisation have the capabilities its strategy needs, and is investment focused on the right ones?</t>
  </si>
  <si>
    <t>Processes; Organisation</t>
  </si>
  <si>
    <t>Skills; Systems</t>
  </si>
  <si>
    <t>BIZBOK capability map; TOGAF capability-based planning</t>
  </si>
  <si>
    <t>BIZBOK Guide; TOGAF Standard 10th Edition</t>
  </si>
  <si>
    <t>D06</t>
  </si>
  <si>
    <t>Organisation Structure &amp; Roles</t>
  </si>
  <si>
    <t>How people and work are grouped, the reporting lines, spans and layers, and the clarity of roles and accountabilities.</t>
  </si>
  <si>
    <t>Structural archetype; spans of control; layers; centralisation vs devolution; shared services and CoEs; role clarity; duplication; interfaces; agility</t>
  </si>
  <si>
    <t>Is the structure aligned to strategy, lean, and clear about who is accountable for what?</t>
  </si>
  <si>
    <t>Organisation</t>
  </si>
  <si>
    <t>Structure</t>
  </si>
  <si>
    <t>Organisation units; roles and actors</t>
  </si>
  <si>
    <t>Spans and layers analysis; organisation design archetypes</t>
  </si>
  <si>
    <t>D07</t>
  </si>
  <si>
    <t>Governance &amp; Decision Rights</t>
  </si>
  <si>
    <t>The bodies, delegations, policies and decision rights that direct and control the organisation.</t>
  </si>
  <si>
    <t>Governance framework; committee effectiveness; delegations; decision rights; decision speed; policy framework; oversight; three lines; transparency</t>
  </si>
  <si>
    <t>Are decisions made by the right people, at the right level, in a timely and accountable way?</t>
  </si>
  <si>
    <t>Management system</t>
  </si>
  <si>
    <t>Systems; Structure</t>
  </si>
  <si>
    <t>Structure; Processes</t>
  </si>
  <si>
    <t>Governance (architecture and enterprise)</t>
  </si>
  <si>
    <t>ASX Corporate Governance Principles; PGPA Act 2013 (Commonwealth entities); COBIT 2019; IIA Three Lines Model; RAPID / RACI</t>
  </si>
  <si>
    <t>D08</t>
  </si>
  <si>
    <t>People, Workforce &amp; Skills</t>
  </si>
  <si>
    <t>The size, mix, skills, capacity and management of the workforce needed to deliver the operating model.</t>
  </si>
  <si>
    <t>Workforce planning; workforce mix; capacity; skills; critical roles and succession; attraction and retention; performance; reward; WHS; engagement</t>
  </si>
  <si>
    <t>Does the organisation have the right people, with the right skills, in the right numbers, at the right cost?</t>
  </si>
  <si>
    <t>Staff; Skills</t>
  </si>
  <si>
    <t>People; Rewards</t>
  </si>
  <si>
    <t>Roles and actors</t>
  </si>
  <si>
    <t>Strategic workforce planning; SFIA (digital skills); Work Health and Safety Act 2011 and psychosocial hazard regulations</t>
  </si>
  <si>
    <t>D09</t>
  </si>
  <si>
    <t>Culture, Leadership &amp; Behaviours</t>
  </si>
  <si>
    <t>The shared values, leadership style and everyday behaviours that determine how work actually gets done.</t>
  </si>
  <si>
    <t>Values and behaviours; culture diagnosis; leadership; accountability; collaboration; customer centricity; psychological safety; risk culture; change readiness</t>
  </si>
  <si>
    <t>Do culture and leadership enable, or undermine, the intended operating model?</t>
  </si>
  <si>
    <t>Organisation; Management system</t>
  </si>
  <si>
    <t>Style; Shared values</t>
  </si>
  <si>
    <t>Not explicitly covered</t>
  </si>
  <si>
    <t>Culture diagnostics; 360-degree feedback; risk culture assessments</t>
  </si>
  <si>
    <t>D10</t>
  </si>
  <si>
    <t>Performance Management &amp; Planning</t>
  </si>
  <si>
    <t>How the organisation plans, sets targets, measures performance and uses information to steer.</t>
  </si>
  <si>
    <t>Planning cycle; KPI framework; cascade; management reporting; performance forums; target setting; incentive alignment; data for performance; external reporting</t>
  </si>
  <si>
    <t>Does the organisation know how it is performing and act on that information?</t>
  </si>
  <si>
    <t>Processes; Rewards</t>
  </si>
  <si>
    <t>Business motivation (measures)</t>
  </si>
  <si>
    <t>Balanced Scorecard; OKRs; integrated planning</t>
  </si>
  <si>
    <t>D11</t>
  </si>
  <si>
    <t>Technology &amp; Applications</t>
  </si>
  <si>
    <t>The applications, infrastructure, architecture and technology operating model that enable the business.</t>
  </si>
  <si>
    <t>Technology strategy; enterprise architecture; application portfolio; technical debt; infrastructure and cloud; integration; IT operating model; ITSM; digital, automation and AI; tech investment; end-user tools</t>
  </si>
  <si>
    <t>Is technology fit for purpose today, and an enabler rather than a constraint for the future?</t>
  </si>
  <si>
    <t>Information (systems)</t>
  </si>
  <si>
    <t>Application and technology architecture</t>
  </si>
  <si>
    <t>TOGAF; ITIL 4; COBIT 2019; Gartner TIME model; FinOps; Technology Business Management (TBM)</t>
  </si>
  <si>
    <t>D12</t>
  </si>
  <si>
    <t>Data, Information &amp; Analytics</t>
  </si>
  <si>
    <t>How data and information are governed, managed, protected and used to generate insight.</t>
  </si>
  <si>
    <t>Data strategy; data governance; data quality; master data; analytics; records management; privacy; classification; AI readiness</t>
  </si>
  <si>
    <t>Is data trusted, protected and used as an asset for decision making?</t>
  </si>
  <si>
    <t>Information</t>
  </si>
  <si>
    <t>Data architecture</t>
  </si>
  <si>
    <t>DAMA-DMBOK; Privacy Act 1988 and Australian Privacy Principles; ISO 15489 records management; ISO/IEC 42001 (AI management)</t>
  </si>
  <si>
    <t>D13</t>
  </si>
  <si>
    <t>Suppliers, Partners &amp; Sourcing</t>
  </si>
  <si>
    <t>The external organisations the operating model relies on, and how they are selected, contracted, managed and governed.</t>
  </si>
  <si>
    <t>Sourcing strategy; supplier register; contract management; performance; concentration and dependency risk; procurement process; partnerships; third-party risk</t>
  </si>
  <si>
    <t>Are external dependencies deliberate, well managed and resilient?</t>
  </si>
  <si>
    <t>Structure; Systems</t>
  </si>
  <si>
    <t>External actors and services</t>
  </si>
  <si>
    <t>Kraljic matrix; ISO 44001 collaborative relationships; APRA CPS 230 (material service providers); Commonwealth Procurement Rules</t>
  </si>
  <si>
    <t>D14</t>
  </si>
  <si>
    <t>Locations &amp; Physical Assets</t>
  </si>
  <si>
    <t>Where work is performed, the property and physical assets used, and the workplace model.</t>
  </si>
  <si>
    <t>Location footprint; workplace model; utilisation; property costs and leases; site resilience; physical assets; physical security; environmental footprint</t>
  </si>
  <si>
    <t>Is the physical footprint aligned to customers, talent, cost and resilience needs?</t>
  </si>
  <si>
    <t>Location</t>
  </si>
  <si>
    <t>ISO 55001 asset management; NABERS; hybrid work frameworks</t>
  </si>
  <si>
    <t>D15</t>
  </si>
  <si>
    <t>Risk, Compliance, Security &amp; Resilience</t>
  </si>
  <si>
    <t>How the organisation identifies and manages risk, meets its obligations, protects information and remains resilient.</t>
  </si>
  <si>
    <t>ERM framework; risk appetite; risk registers; obligations register; compliance management; controls; cyber security; business continuity; incidents; audit; fraud; ESG and climate risk</t>
  </si>
  <si>
    <t>Is the organisation operating within its risk appetite and meeting its obligations, and can it withstand disruption?</t>
  </si>
  <si>
    <t>Security and governance</t>
  </si>
  <si>
    <t>ISO 31000; ISO 37301; ISO/IEC 27001; ISO 22301; ASD Essential Eight; APRA CPS 230 / CPS 234; PSPF; AASB S2</t>
  </si>
  <si>
    <t>D16</t>
  </si>
  <si>
    <t>Finance, Funding &amp; Cost Model</t>
  </si>
  <si>
    <t>The cost base, funding model, budgeting and financial controls that resource the operating model.</t>
  </si>
  <si>
    <t>Cost baseline; cost-to-serve; cost structure; budgeting and forecasting; funding model; cost allocation; investment governance; financial controls; value for money</t>
  </si>
  <si>
    <t>Is the cost of the operating model understood, affordable and directed at the highest-value activity?</t>
  </si>
  <si>
    <t>Not explicitly covered (cost of capabilities and portfolio)</t>
  </si>
  <si>
    <t>Activity-based costing; Technology Business Management (TBM); zero-based budgeting</t>
  </si>
  <si>
    <t>D17</t>
  </si>
  <si>
    <t>Change, Transformation &amp; Continuous Improvement</t>
  </si>
  <si>
    <t>The organisation's ability to prioritise, deliver and embed change and to improve continuously.</t>
  </si>
  <si>
    <t>Portfolio management; delivery methodology; delivery performance; change capacity; change management; benefits realisation; business analysis; continuous improvement; innovation; lessons learned</t>
  </si>
  <si>
    <t>Can the organisation move from its current to its target operating model and sustain the change?</t>
  </si>
  <si>
    <t>Systems; Skills; Style</t>
  </si>
  <si>
    <t>Processes; People</t>
  </si>
  <si>
    <t>Implementation and migration (ADM phases E–G)</t>
  </si>
  <si>
    <t>PRINCE2; MSP; P3O; Agile / SAFe; Prosci ADKAR; BABOK v3; Lean</t>
  </si>
  <si>
    <t>Assessment approach</t>
  </si>
  <si>
    <t>Key activities</t>
  </si>
  <si>
    <t>Workbook tabs</t>
  </si>
  <si>
    <t>Outputs</t>
  </si>
  <si>
    <t>Confirm objectives, scope, sponsor and success criteria. Identify stakeholders, issue the document request and schedule interviews. Agree design principles and assessment settings.</t>
  </si>
  <si>
    <t>Engagement; Stakeholders; Document Requests</t>
  </si>
  <si>
    <t>Engagement charter; stakeholder map; document request</t>
  </si>
  <si>
    <t>2. Discover</t>
  </si>
  <si>
    <t>Review documents and data; run interviews, workshops and site visits; build the capability, process, organisation, decision rights, application, supplier, location and cost baselines.</t>
  </si>
  <si>
    <t>Interview Guides; Capabilities; Processes; Org Structure; Decision Rights; Applications; Suppliers; Locations; Cost Baseline</t>
  </si>
  <si>
    <t>Evidence base; current-state inventories and baselines</t>
  </si>
  <si>
    <t>3. Assess &amp; analyse</t>
  </si>
  <si>
    <t>Score current and target maturity for every question with evidence and confidence ratings. Identify findings and root causes and validate them with stakeholders.</t>
  </si>
  <si>
    <t>Assessment; Findings; Dashboard</t>
  </si>
  <si>
    <t>Maturity profile; validated findings; heat maps</t>
  </si>
  <si>
    <t>4. Design &amp; recommend</t>
  </si>
  <si>
    <t>Describe the target state and key shifts for each dimension against the design principles. Develop and prioritise recommendations by value and ease.</t>
  </si>
  <si>
    <t>Current vs Target; Recommendations</t>
  </si>
  <si>
    <t>Target operating model directions; prioritised recommendations</t>
  </si>
  <si>
    <t>5. Roadmap &amp; mobilise</t>
  </si>
  <si>
    <t>Sequence recommendations into horizons, confirm dependencies, owners and indicative costs, and present to the sponsor and executive.</t>
  </si>
  <si>
    <t>Recommendations; Dashboard</t>
  </si>
  <si>
    <t>Implementation roadmap; executive presentation</t>
  </si>
  <si>
    <t>Descriptors for each maturity level by dimension. Use these, together with 'What good looks like' on the Assessment tab, to calibrate scores.</t>
  </si>
  <si>
    <t>All</t>
  </si>
  <si>
    <t>Generic scale (applies to every dimension)</t>
  </si>
  <si>
    <t>No articulated strategy, or it exists only in the heads of a few leaders. Priorities shift frequently.</t>
  </si>
  <si>
    <t>Strategy documented but high level. Objectives are unclear or unprioritised; awareness is limited beyond the executive.</t>
  </si>
  <si>
    <t>Clear strategy with measurable objectives and agreed design principles, cascaded into business plans.</t>
  </si>
  <si>
    <t>Strategy drives portfolio, budget and operating model decisions. Progress reviewed quarterly and adjusted.</t>
  </si>
  <si>
    <t>Adaptive, evidence-led strategy informed by continuous scanning. The whole organisation understands and contributes to it.</t>
  </si>
  <si>
    <t>Limited understanding of customers. Services are designed around internal structures.</t>
  </si>
  <si>
    <t>Basic segmentation. Feedback is collected but rarely acted upon; channels are managed in silos.</t>
  </si>
  <si>
    <t>Defined segments, value propositions and key journeys. Channel strategy and voice-of-customer program in place.</t>
  </si>
  <si>
    <t>Journeys owned and measured end to end. Consistent omnichannel experience; insight drives service change.</t>
  </si>
  <si>
    <t>Customer-centric by design. Predictive insight personalises services and customers co-design improvements.</t>
  </si>
  <si>
    <t>No complete view of products and services. Ownership is unclear.</t>
  </si>
  <si>
    <t>Catalogue exists but is incomplete. Performance data is partial and launches are ad hoc.</t>
  </si>
  <si>
    <t>Complete catalogue with owners, a defined lifecycle process and tracked performance.</t>
  </si>
  <si>
    <t>Portfolio actively managed on value and cost, with regular rationalisation and a strategy-linked pipeline.</t>
  </si>
  <si>
    <t>Portfolio continuously optimised using customer and financial insight; rapid test-and-learn development.</t>
  </si>
  <si>
    <t>Processes are undocumented and person-dependent, with high variation and rework.</t>
  </si>
  <si>
    <t>Some processes documented. Ownership is functional and measurement is limited.</t>
  </si>
  <si>
    <t>Process architecture defined. Key processes documented, owned and measured with KPIs.</t>
  </si>
  <si>
    <t>End-to-end process owners manage performance. Processes are standardised and automation is applied systematically.</t>
  </si>
  <si>
    <t>Processes continuously optimised using data (e.g. process mining), with intelligent automation at scale.</t>
  </si>
  <si>
    <t>No capability view. Investment is decided project by project.</t>
  </si>
  <si>
    <t>A capability map has been drafted but is not used in decision making.</t>
  </si>
  <si>
    <t>Endorsed capability map with named owners and a maturity assessment.</t>
  </si>
  <si>
    <t>Capability-based planning drives investment, architecture and sourcing decisions.</t>
  </si>
  <si>
    <t>The capability model is the common language for strategy, architecture, investment and performance.</t>
  </si>
  <si>
    <t>Structure has evolved organically. Roles are unclear and duplication is significant.</t>
  </si>
  <si>
    <t>Structure documented with some role clarity. Spans and layers have not been analysed.</t>
  </si>
  <si>
    <t>Structure aligned to strategy with a documented rationale. Roles defined; spans and layers within broad norms.</t>
  </si>
  <si>
    <t>Structure optimised (spans, layers, shared services) and reviewed regularly, with strong cross-unit interfaces.</t>
  </si>
  <si>
    <t>Adaptive structure that reconfigures around priorities with minimal disruption.</t>
  </si>
  <si>
    <t>Governance is informal. Decisions are escalated or made inconsistently; delegations are out of date.</t>
  </si>
  <si>
    <t>Committees exist but overlap. Decision rights are unclear and delegations are poorly understood.</t>
  </si>
  <si>
    <t>Governance framework and delegations defined. Committees have terms of reference; key decision rights are defined.</t>
  </si>
  <si>
    <t>Governance is effective and efficient. Decisions are timely and made at the right level; the three lines operate well.</t>
  </si>
  <si>
    <t>Governance is continuously reviewed. Decision making is agile, transparent and data-driven.</t>
  </si>
  <si>
    <t>Workforce management is reactive, with limited workforce data.</t>
  </si>
  <si>
    <t>Basic workforce reporting. Skills gaps are known anecdotally and development is ad hoc.</t>
  </si>
  <si>
    <t>Workforce plan and skills framework in place. Performance and development processes are consistent.</t>
  </si>
  <si>
    <t>Strategic workforce planning is integrated with business planning. Talent is actively managed; engagement is high.</t>
  </si>
  <si>
    <t>Predictive workforce analytics and agile deployment of talent. Recognised employer of choice.</t>
  </si>
  <si>
    <t>Values are not defined or not lived. Trust is low and behaviours are siloed.</t>
  </si>
  <si>
    <t>Values are defined but inconsistently demonstrated. Culture is not measured.</t>
  </si>
  <si>
    <t>Culture is measured and the desired shifts are defined. Leadership development is in place.</t>
  </si>
  <si>
    <t>Leaders role-model desired behaviours. Culture is reinforced through hiring, reward and recognition.</t>
  </si>
  <si>
    <t>Culture is a source of advantage, with high psychological safety and continuous learning.</t>
  </si>
  <si>
    <t>Few or no KPIs. Reporting is ad hoc and manual.</t>
  </si>
  <si>
    <t>KPIs exist but are mainly financial or activity-based. Reporting is lagging and manual.</t>
  </si>
  <si>
    <t>Balanced KPI framework cascaded through the organisation. Integrated planning cycle and regular performance forums.</t>
  </si>
  <si>
    <t>Automated, trusted reporting. Performance information drives decisions and resource allocation.</t>
  </si>
  <si>
    <t>Real-time, predictive performance insight. Continuous planning and adaptive targets.</t>
  </si>
  <si>
    <t>Fragmented, ageing technology with no strategy. IT is reactive.</t>
  </si>
  <si>
    <t>Technology strategy exists. Application inventory is partial, technical debt is significant and architecture governance is limited.</t>
  </si>
  <si>
    <t>Enterprise architecture practice and standards in place. Application portfolio managed; ITSM processes defined.</t>
  </si>
  <si>
    <t>Technology aligned to capabilities. Technical debt actively reduced; mature cloud and integration platforms; strong business–IT partnership.</t>
  </si>
  <si>
    <t>Technology is a strategic enabler. Product-based delivery, embedded automation and AI, and continuous modernisation.</t>
  </si>
  <si>
    <t>Data is siloed and of poor quality, with no ownership.</t>
  </si>
  <si>
    <t>Some data governance. Quality issues are known; reporting relies on manual extraction.</t>
  </si>
  <si>
    <t>Data governance framework with named owners and stewards. Quality measured for critical data elements.</t>
  </si>
  <si>
    <t>Trusted single sources of truth and self-service analytics. Privacy and records are well managed.</t>
  </si>
  <si>
    <t>Data is a strategic asset. Advanced analytics and AI drive decisions; the data culture is pervasive.</t>
  </si>
  <si>
    <t>No supplier register. Contracts are unmanaged and relationships transactional.</t>
  </si>
  <si>
    <t>Supplier register exists. Basic contract management; limited performance measurement.</t>
  </si>
  <si>
    <t>Sourcing strategy defined and suppliers segmented. Performance reviewed for key suppliers.</t>
  </si>
  <si>
    <t>Strategic supplier relationships managed. Third-party risk, including exit plans, is actively managed and value tracked.</t>
  </si>
  <si>
    <t>Ecosystem partnerships co-create value. Sourcing is continuously optimised.</t>
  </si>
  <si>
    <t>Footprint is historical and not aligned to strategy. Property costs are not visible.</t>
  </si>
  <si>
    <t>Site and lease data captured. Limited utilisation analysis.</t>
  </si>
  <si>
    <t>Footprint strategy and workplace model defined. Utilisation is measured.</t>
  </si>
  <si>
    <t>Footprint optimised to customers, talent and cost. Site resilience is tested.</t>
  </si>
  <si>
    <t>Flexible, data-driven footprint. Workplace continuously adapted; environmental footprint minimised.</t>
  </si>
  <si>
    <t>Risk and compliance managed reactively. Obligations not mapped; cyber security immature.</t>
  </si>
  <si>
    <t>Risk framework documented but registers maintained inconsistently. Obligations partially mapped.</t>
  </si>
  <si>
    <t>ERM framework operating. Obligations register and control library in place; cyber and BCM programs established.</t>
  </si>
  <si>
    <t>Integrated risk, compliance and assurance. Controls tested, appetite drives decisions, resilience tested.</t>
  </si>
  <si>
    <t>Risk intelligence informs strategy. Proactive regulatory engagement and continuous control monitoring.</t>
  </si>
  <si>
    <t>Costs visible only at general ledger level. Budgeting is incremental.</t>
  </si>
  <si>
    <t>Cost-centre reporting and basic budgeting. Limited understanding of cost-to-serve.</t>
  </si>
  <si>
    <t>Cost baseline by business unit and capability. Driver-based budgeting and consistent business cases.</t>
  </si>
  <si>
    <t>Cost-to-serve informs decisions. Funding aligned to the operating model; benefits tracked.</t>
  </si>
  <si>
    <t>Dynamic resource allocation, value-based funding and continuous efficiency.</t>
  </si>
  <si>
    <t>Change managed project by project with no portfolio view. Delivery track record is poor.</t>
  </si>
  <si>
    <t>PMO established. Methods defined but inconsistently applied; benefits rarely tracked.</t>
  </si>
  <si>
    <t>Portfolio prioritised against strategy. Standard delivery and change methods; benefits registers maintained.</t>
  </si>
  <si>
    <t>Portfolio managed dynamically. Change capacity managed and benefits consistently realised.</t>
  </si>
  <si>
    <t>Continuous transformation capability. Improvement and innovation embedded; the organisation learns and adapts rapidly.</t>
  </si>
  <si>
    <t>Stakeholder Register &amp; Interview Plan</t>
  </si>
  <si>
    <t>Register everyone to be interviewed or engaged. Engagement approach is derived from influence and interest.</t>
  </si>
  <si>
    <t>Legend:  yellow cells = inputs  |  grey cells = calculated (do not overwrite)  |  green text = linked from another tab  |  grey italic row = example (overwrite or delete)</t>
  </si>
  <si>
    <t>ID</t>
  </si>
  <si>
    <t>Name</t>
  </si>
  <si>
    <t>Role / title</t>
  </si>
  <si>
    <t>Business unit</t>
  </si>
  <si>
    <t>Stakeholder group</t>
  </si>
  <si>
    <t>Influence</t>
  </si>
  <si>
    <t>Interest</t>
  </si>
  <si>
    <t>Engagement approach</t>
  </si>
  <si>
    <t>Dimensions to cover</t>
  </si>
  <si>
    <t>Interview date</t>
  </si>
  <si>
    <t>Interviewer</t>
  </si>
  <si>
    <t>Key themes / notes</t>
  </si>
  <si>
    <t>Example</t>
  </si>
  <si>
    <t>Jane Citizen</t>
  </si>
  <si>
    <t>Chief Operating Officer</t>
  </si>
  <si>
    <t>Operations</t>
  </si>
  <si>
    <t>CEO &amp; Executive Leadership</t>
  </si>
  <si>
    <t>High</t>
  </si>
  <si>
    <t>D04; D06; D07</t>
  </si>
  <si>
    <t>Lead consultant</t>
  </si>
  <si>
    <t>Scheduled</t>
  </si>
  <si>
    <t>Sees cross-unit hand-offs as the main constraint on service times.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</si>
  <si>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</si>
  <si>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</si>
  <si>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</si>
  <si>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</si>
  <si>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</si>
  <si>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</si>
  <si>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</si>
  <si>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</si>
  <si>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</si>
  <si>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</si>
  <si>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</si>
  <si>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</si>
  <si>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</si>
  <si>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</si>
  <si>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</si>
  <si>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</si>
  <si>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</si>
  <si>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</si>
  <si>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</si>
  <si>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</si>
  <si>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</si>
  <si>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</si>
  <si>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</si>
  <si>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</si>
  <si>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</si>
  <si>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</si>
  <si>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</si>
  <si>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</si>
  <si>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</si>
  <si>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</si>
  <si>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</si>
  <si>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</si>
  <si>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</si>
  <si>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</si>
  <si>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</si>
  <si>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</si>
  <si>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</si>
  <si>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</si>
  <si>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</si>
  <si>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</si>
  <si>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</si>
  <si>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</si>
  <si>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</si>
  <si>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</si>
  <si>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</si>
  <si>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</si>
  <si>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</si>
  <si>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</si>
  <si>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</si>
  <si>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</si>
  <si>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</si>
  <si>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</si>
  <si>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</si>
  <si>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</si>
  <si>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</si>
  <si>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</si>
  <si>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</si>
  <si>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</si>
  <si>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</si>
  <si>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</si>
  <si>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Core questions by stakeholder group, mapped to dimensions. Tailor before each interview and record notes in the yellow column.</t>
  </si>
  <si>
    <t>#</t>
  </si>
  <si>
    <t>Interview question</t>
  </si>
  <si>
    <t>Dimensions</t>
  </si>
  <si>
    <t>Probe / follow-up</t>
  </si>
  <si>
    <t>Interview notes</t>
  </si>
  <si>
    <t>Board / Chair</t>
  </si>
  <si>
    <t>What are the organisation's most important priorities over the next three to five years, and how confident are you that it can deliver them?</t>
  </si>
  <si>
    <t>Which priorities are most at risk, and why?</t>
  </si>
  <si>
    <t>How well does the information the board receives support decisions on strategy, performance and risk?</t>
  </si>
  <si>
    <t>D07; D10</t>
  </si>
  <si>
    <t>What would you like to see more or less of?</t>
  </si>
  <si>
    <t>How clear are the respective roles of the board, its committees and management?</t>
  </si>
  <si>
    <t>Any areas where the board is drawn into operational matters?</t>
  </si>
  <si>
    <t>How would you describe the organisation's risk appetite and risk culture?</t>
  </si>
  <si>
    <t>D15; D09</t>
  </si>
  <si>
    <t>Recent examples where appetite shaped a decision.</t>
  </si>
  <si>
    <t>Where do you see the greatest operational, cyber or regulatory exposures?</t>
  </si>
  <si>
    <t>How confident are you in the organisation's resilience?</t>
  </si>
  <si>
    <t>How effectively does the organisation deliver major change and realise the promised benefits?</t>
  </si>
  <si>
    <t>Recent programs that succeeded or struggled.</t>
  </si>
  <si>
    <t>What would a successful operating model look like to the board in three years?</t>
  </si>
  <si>
    <t>How would you know it had been achieved?</t>
  </si>
  <si>
    <t>What is the organisation trying to achieve, and what must the operating model do differently to get there?</t>
  </si>
  <si>
    <t>What are the non-negotiables?</t>
  </si>
  <si>
    <t>What are the biggest barriers to executing the strategy today?</t>
  </si>
  <si>
    <t>D01; D06; D07</t>
  </si>
  <si>
    <t>Are they structural, process, people, technology or cultural?</t>
  </si>
  <si>
    <t>Which capabilities are most critical to success, and where are the largest gaps?</t>
  </si>
  <si>
    <t>Which capabilities should be built, bought or partnered?</t>
  </si>
  <si>
    <t>How are decisions made at the executive level, and where do decisions get stuck?</t>
  </si>
  <si>
    <t>Examples of decisions that took too long or were revisited.</t>
  </si>
  <si>
    <t>How well do business units and functions work together to deliver end to end for customers?</t>
  </si>
  <si>
    <t>D06; D09; D02</t>
  </si>
  <si>
    <t>Where do hand-offs break down?</t>
  </si>
  <si>
    <t>How is performance measured and managed across the organisation?</t>
  </si>
  <si>
    <t>Which measures actually drive behaviour?</t>
  </si>
  <si>
    <t>What is the organisation's capacity and appetite for change over the next 12 to 24 months?</t>
  </si>
  <si>
    <t>D17; D09</t>
  </si>
  <si>
    <t>What else is competing for attention?</t>
  </si>
  <si>
    <t>What works well today and must be protected in any future operating model?</t>
  </si>
  <si>
    <t>What would staff say is worth keeping?</t>
  </si>
  <si>
    <t>Business Unit &amp; Operations Leaders</t>
  </si>
  <si>
    <t>Describe your unit's purpose, key services and customers.</t>
  </si>
  <si>
    <t>D02; D03</t>
  </si>
  <si>
    <t>How has demand changed over the last two years?</t>
  </si>
  <si>
    <t>Walk me through the end-to-end process for your most important service. Where are the delays, hand-offs and rework?</t>
  </si>
  <si>
    <t>What proportion of work needs rework or escalation?</t>
  </si>
  <si>
    <t>How clear are accountabilities between your unit and the other units you depend on?</t>
  </si>
  <si>
    <t>D06; D07</t>
  </si>
  <si>
    <t>Examples of work falling between the cracks.</t>
  </si>
  <si>
    <t>Which decisions can you make without escalation, and which should you be able to make?</t>
  </si>
  <si>
    <t>How long do escalated decisions typically take?</t>
  </si>
  <si>
    <t>Do you have the right people, skills and capacity to meet demand?</t>
  </si>
  <si>
    <t>Where are you relying on contractors or key individuals?</t>
  </si>
  <si>
    <t>How well do systems and data support your team's work, and what workarounds exist?</t>
  </si>
  <si>
    <t>D11; D12</t>
  </si>
  <si>
    <t>Spreadsheets, re-keying or shadow systems in use.</t>
  </si>
  <si>
    <t>Which KPIs do you manage to, and how are they used?</t>
  </si>
  <si>
    <t>Do the measures reflect what matters to customers?</t>
  </si>
  <si>
    <t>What are the three changes that would most improve your unit's performance?</t>
  </si>
  <si>
    <t>What has prevented them so far?</t>
  </si>
  <si>
    <t>Team Leaders &amp; Frontline Staff</t>
  </si>
  <si>
    <t>What does a typical day look like, and what gets in the way of doing your job well?</t>
  </si>
  <si>
    <t>D04; D11</t>
  </si>
  <si>
    <t>How much time is lost to these issues each week?</t>
  </si>
  <si>
    <t>Where do you spend time on manual workarounds, rework or chasing information?</t>
  </si>
  <si>
    <t>D04; D12</t>
  </si>
  <si>
    <t>Can you show me an example?</t>
  </si>
  <si>
    <t>How clear is it who is responsible for what, and whom to escalate to?</t>
  </si>
  <si>
    <t>What happens when something is unclear?</t>
  </si>
  <si>
    <t>How well do you understand the organisation's strategy and how your work contributes to it?</t>
  </si>
  <si>
    <t>D01; D10</t>
  </si>
  <si>
    <t>How is progress communicated to you?</t>
  </si>
  <si>
    <t>Which customer pain points do you see most often?</t>
  </si>
  <si>
    <t>What would fix them?</t>
  </si>
  <si>
    <t>Do you have the training, tools and support you need?</t>
  </si>
  <si>
    <t>D08; D11</t>
  </si>
  <si>
    <t>What is missing?</t>
  </si>
  <si>
    <t>How comfortable do you feel raising concerns or suggesting improvements?</t>
  </si>
  <si>
    <t>What happened the last time you did?</t>
  </si>
  <si>
    <t>If you could change one thing about how the organisation works, what would it be?</t>
  </si>
  <si>
    <t>Why that change?</t>
  </si>
  <si>
    <t>CFO &amp; Finance</t>
  </si>
  <si>
    <t>How is the cost base structured, and how well is it understood by business unit and capability?</t>
  </si>
  <si>
    <t>Can costs be traced to services and customers?</t>
  </si>
  <si>
    <t>Is the cost to serve customers, products and channels understood?</t>
  </si>
  <si>
    <t>D16; D02</t>
  </si>
  <si>
    <t>Which segments or channels are unprofitable or high cost?</t>
  </si>
  <si>
    <t>How are budgets set and resources allocated to strategic priorities?</t>
  </si>
  <si>
    <t>D16; D10</t>
  </si>
  <si>
    <t>How much of the budget is discretionary?</t>
  </si>
  <si>
    <t>How is investment governed, and are benefits tracked after delivery?</t>
  </si>
  <si>
    <t>D16; D17</t>
  </si>
  <si>
    <t>Examples of benefits that were or were not realised.</t>
  </si>
  <si>
    <t>How effective are delegations and financial controls?</t>
  </si>
  <si>
    <t>D07; D16</t>
  </si>
  <si>
    <t>Recent audit findings or control breaches.</t>
  </si>
  <si>
    <t>Where are the largest efficiency or cost-reduction opportunities?</t>
  </si>
  <si>
    <t>D16; D04</t>
  </si>
  <si>
    <t>What has been tried before?</t>
  </si>
  <si>
    <t>How reliable and timely is management and financial reporting?</t>
  </si>
  <si>
    <t>D10; D12</t>
  </si>
  <si>
    <t>How much manual effort goes into producing it?</t>
  </si>
  <si>
    <t>CHRO &amp; People</t>
  </si>
  <si>
    <t>How well does the current structure support the strategy, and what are the main pain points?</t>
  </si>
  <si>
    <t>When was the structure last reviewed?</t>
  </si>
  <si>
    <t>What does the workforce profile look like (headcount, mix, spans, layers, turnover)?</t>
  </si>
  <si>
    <t>D06; D08</t>
  </si>
  <si>
    <t>Can we obtain an HR system extract?</t>
  </si>
  <si>
    <t>Where are the critical skills gaps and key-person dependencies?</t>
  </si>
  <si>
    <t>Which roles are hardest to fill?</t>
  </si>
  <si>
    <t>How would you describe the current culture, and what needs to shift?</t>
  </si>
  <si>
    <t>What evidence supports that view?</t>
  </si>
  <si>
    <t>How do performance management and reward reinforce the desired outcomes and behaviours?</t>
  </si>
  <si>
    <t>D08; D10</t>
  </si>
  <si>
    <t>Any unintended consequences?</t>
  </si>
  <si>
    <t>How are WHS risks, including psychosocial hazards, managed?</t>
  </si>
  <si>
    <t>D08; D15</t>
  </si>
  <si>
    <t>Trends in incidents, claims or absenteeism.</t>
  </si>
  <si>
    <t>What is the organisation's track record with restructures and people change?</t>
  </si>
  <si>
    <t>Lessons learned from previous changes.</t>
  </si>
  <si>
    <t>CIO, Technology &amp; Data</t>
  </si>
  <si>
    <t>How well is the technology strategy aligned with the business strategy?</t>
  </si>
  <si>
    <t>D11; D01</t>
  </si>
  <si>
    <t>How are technology priorities set?</t>
  </si>
  <si>
    <t>What is the state of the application portfolio and technical debt?</t>
  </si>
  <si>
    <t>Which systems are end-of-life or unsupported?</t>
  </si>
  <si>
    <t>How effectively are systems integrated, and where is data re-keyed?</t>
  </si>
  <si>
    <t>Which interfaces fail most often?</t>
  </si>
  <si>
    <t>How is the IT function organised, and how does it engage with the business?</t>
  </si>
  <si>
    <t>D11; D06</t>
  </si>
  <si>
    <t>Plan-build-run, product teams or a mix?</t>
  </si>
  <si>
    <t>How mature are data governance, data quality and analytics?</t>
  </si>
  <si>
    <t>Is there a trusted single source of truth for key data?</t>
  </si>
  <si>
    <t>What is the cyber security posture and target maturity?</t>
  </si>
  <si>
    <t>D15; D11</t>
  </si>
  <si>
    <t>Latest Essential Eight or ISO/IEC 27001 assessment results.</t>
  </si>
  <si>
    <t>How is the organisation approaching automation and AI, and how is it governed?</t>
  </si>
  <si>
    <t>Use cases in production and their measured benefits.</t>
  </si>
  <si>
    <t>What are the largest technology risks to operations and to change delivery?</t>
  </si>
  <si>
    <t>D11; D15</t>
  </si>
  <si>
    <t>Single points of failure and key-person risks.</t>
  </si>
  <si>
    <t>CRO, Risk, Compliance &amp; Audit</t>
  </si>
  <si>
    <t>How mature is the enterprise risk management framework, and how is it used in decision making?</t>
  </si>
  <si>
    <t>Examples where risk information changed a decision.</t>
  </si>
  <si>
    <t>How are legal and regulatory obligations identified, owned and monitored?</t>
  </si>
  <si>
    <t>Is there an obligations register, and who maintains it?</t>
  </si>
  <si>
    <t>What are the key compliance breaches, incidents or audit findings of the last two years, and their root causes?</t>
  </si>
  <si>
    <t>D15; D04</t>
  </si>
  <si>
    <t>Are there recurring themes?</t>
  </si>
  <si>
    <t>How well do the three lines of accountability work in practice?</t>
  </si>
  <si>
    <t>D07; D15</t>
  </si>
  <si>
    <t>Where do roles overlap or leave gaps?</t>
  </si>
  <si>
    <t>How resilient are critical operations, and when were BCP and DR arrangements last tested?</t>
  </si>
  <si>
    <t>D15; D14</t>
  </si>
  <si>
    <t>Results and actions from the last test.</t>
  </si>
  <si>
    <t>How are third-party and supplier risks managed?</t>
  </si>
  <si>
    <t>D13; D15</t>
  </si>
  <si>
    <t>Are material service providers identified?</t>
  </si>
  <si>
    <t>What regulatory changes on the horizon will affect the operating model?</t>
  </si>
  <si>
    <t>D15; D01</t>
  </si>
  <si>
    <t>How is regulatory change tracked?</t>
  </si>
  <si>
    <t>Procurement &amp; Supplier Management</t>
  </si>
  <si>
    <t>What is the sourcing strategy, and how are make, buy and partner decisions made?</t>
  </si>
  <si>
    <t>Who has the final say?</t>
  </si>
  <si>
    <t>Who are the critical and strategic suppliers, and where is concentration risk?</t>
  </si>
  <si>
    <t>Are there single-source dependencies?</t>
  </si>
  <si>
    <t>How are contracts and supplier performance managed?</t>
  </si>
  <si>
    <t>Are scorecards and regular reviews in place?</t>
  </si>
  <si>
    <t>How efficient and compliant is the procurement process?</t>
  </si>
  <si>
    <t>Typical cycle times and bottlenecks.</t>
  </si>
  <si>
    <t>Which major contracts are due for renewal in the next 24 months, and are they aligned to the future operating model?</t>
  </si>
  <si>
    <t>D13; D17</t>
  </si>
  <si>
    <t>Opportunities to consolidate or renegotiate.</t>
  </si>
  <si>
    <t>How are supplier security and privacy risks assessed?</t>
  </si>
  <si>
    <t>Before engagement and during the contract term.</t>
  </si>
  <si>
    <t>Customers &amp; External Partners</t>
  </si>
  <si>
    <t>What do you value most about the organisation's services?</t>
  </si>
  <si>
    <t>What would you miss if it stopped?</t>
  </si>
  <si>
    <t>What are your biggest frustrations when dealing with the organisation?</t>
  </si>
  <si>
    <t>D02; D04</t>
  </si>
  <si>
    <t>A recent example.</t>
  </si>
  <si>
    <t>How easy is it to get things done across channels (online, phone, in person)?</t>
  </si>
  <si>
    <t>Do you have to repeat information?</t>
  </si>
  <si>
    <t>How well does the organisation communicate and follow through on its commitments?</t>
  </si>
  <si>
    <t>D02; D09</t>
  </si>
  <si>
    <t>Examples of commitments kept or missed.</t>
  </si>
  <si>
    <t>How does the organisation compare with others you deal with?</t>
  </si>
  <si>
    <t>Who does this well?</t>
  </si>
  <si>
    <t>What should the organisation start, stop or continue doing?</t>
  </si>
  <si>
    <t>Opening and closing (use in every interview): explain the purpose and confidentiality of the interview; ask the interviewee to describe their role; close by asking 'What have I not asked that I should have?' and 'Who else should we speak to?'.</t>
  </si>
  <si>
    <t>Document &amp; Data Request List</t>
  </si>
  <si>
    <t>Pre-populated with the artefacts typically needed for an operating model assessment. Remove items that do not apply and add client-specific requests at the bottom.</t>
  </si>
  <si>
    <t>Ref</t>
  </si>
  <si>
    <t>Document / artefact</t>
  </si>
  <si>
    <t>Dimension(s)</t>
  </si>
  <si>
    <t>Priority</t>
  </si>
  <si>
    <t>Likely owner</t>
  </si>
  <si>
    <t>Requested from</t>
  </si>
  <si>
    <t>Date requested</t>
  </si>
  <si>
    <t>Date due</t>
  </si>
  <si>
    <t>Date received</t>
  </si>
  <si>
    <t>Days outstanding</t>
  </si>
  <si>
    <t>Notes</t>
  </si>
  <si>
    <t>DR01</t>
  </si>
  <si>
    <t>Strategic plan / corporate plan (current and previous)</t>
  </si>
  <si>
    <t>CEO office / Strategy</t>
  </si>
  <si>
    <t>Not requested</t>
  </si>
  <si>
    <t>DR02</t>
  </si>
  <si>
    <t>Business unit plans</t>
  </si>
  <si>
    <t>Business unit heads</t>
  </si>
  <si>
    <t>DR03</t>
  </si>
  <si>
    <t>Board and executive committee papers and minutes (last 12 months)</t>
  </si>
  <si>
    <t>Company Secretary</t>
  </si>
  <si>
    <t>DR04</t>
  </si>
  <si>
    <t>Previous operating model reviews, restructure proposals or consulting reports</t>
  </si>
  <si>
    <t>D01; D06</t>
  </si>
  <si>
    <t>Strategy / CEO office</t>
  </si>
  <si>
    <t>DR05</t>
  </si>
  <si>
    <t>ESG / sustainability strategy and report</t>
  </si>
  <si>
    <t>D01; D15</t>
  </si>
  <si>
    <t>Medium</t>
  </si>
  <si>
    <t>Sustainability lead</t>
  </si>
  <si>
    <t>DR06</t>
  </si>
  <si>
    <t>Customer research, segmentation and NPS / CSAT reports</t>
  </si>
  <si>
    <t>CX / Marketing</t>
  </si>
  <si>
    <t>DR07</t>
  </si>
  <si>
    <t>Customer journey maps and service blueprints</t>
  </si>
  <si>
    <t>CX lead</t>
  </si>
  <si>
    <t>DR08</t>
  </si>
  <si>
    <t>Complaints register and complaints analysis</t>
  </si>
  <si>
    <t>Complaints manager</t>
  </si>
  <si>
    <t>DR09</t>
  </si>
  <si>
    <t>Channel volumes and cost by channel</t>
  </si>
  <si>
    <t>D02; D16</t>
  </si>
  <si>
    <t>Operations / Finance</t>
  </si>
  <si>
    <t>DR10</t>
  </si>
  <si>
    <t>Service charter and customer SLAs</t>
  </si>
  <si>
    <t>DR11</t>
  </si>
  <si>
    <t>Product / service catalogue</t>
  </si>
  <si>
    <t>Product owners</t>
  </si>
  <si>
    <t>DR12</t>
  </si>
  <si>
    <t>Product performance and P&amp;L reports</t>
  </si>
  <si>
    <t>D03; D16</t>
  </si>
  <si>
    <t>Finance</t>
  </si>
  <si>
    <t>DR13</t>
  </si>
  <si>
    <t>Process architecture / process repository export</t>
  </si>
  <si>
    <t>Process / BA team</t>
  </si>
  <si>
    <t>DR14</t>
  </si>
  <si>
    <t>Key standard operating procedures and process maps</t>
  </si>
  <si>
    <t>Process owners</t>
  </si>
  <si>
    <t>DR15</t>
  </si>
  <si>
    <t>Operational performance reports (volumes, cycle times, backlogs, quality)</t>
  </si>
  <si>
    <t>D04; D10</t>
  </si>
  <si>
    <t>DR16</t>
  </si>
  <si>
    <t>Automation, RPA and AI use-case register</t>
  </si>
  <si>
    <t>Digital / IT</t>
  </si>
  <si>
    <t>DR17</t>
  </si>
  <si>
    <t>Business capability map and capability assessments</t>
  </si>
  <si>
    <t>Enterprise architecture</t>
  </si>
  <si>
    <t>DR18</t>
  </si>
  <si>
    <t>Organisation charts (all levels)</t>
  </si>
  <si>
    <t>HR</t>
  </si>
  <si>
    <t>DR19</t>
  </si>
  <si>
    <t>HR system extract: position, reporting line, grade, employment type, location, cost centre, FTE</t>
  </si>
  <si>
    <t>DR20</t>
  </si>
  <si>
    <t>Position descriptions for key roles</t>
  </si>
  <si>
    <t>DR21</t>
  </si>
  <si>
    <t>Governance framework and committee charters / terms of reference</t>
  </si>
  <si>
    <t>DR22</t>
  </si>
  <si>
    <t>Delegations of authority (financial and non-financial)</t>
  </si>
  <si>
    <t>CFO / Legal</t>
  </si>
  <si>
    <t>DR23</t>
  </si>
  <si>
    <t>Decision rights matrices / RACIs</t>
  </si>
  <si>
    <t>Executive office</t>
  </si>
  <si>
    <t>DR24</t>
  </si>
  <si>
    <t>Policy register and policy framework</t>
  </si>
  <si>
    <t>Risk &amp; Compliance</t>
  </si>
  <si>
    <t>DR25</t>
  </si>
  <si>
    <t>Strategic workforce plan</t>
  </si>
  <si>
    <t>DR26</t>
  </si>
  <si>
    <t>Engagement and culture survey results (last two cycles)</t>
  </si>
  <si>
    <t>D08; D09</t>
  </si>
  <si>
    <t>DR27</t>
  </si>
  <si>
    <t>Turnover, absenteeism and recruitment metrics</t>
  </si>
  <si>
    <t>DR28</t>
  </si>
  <si>
    <t>Skills / capability framework and learning records</t>
  </si>
  <si>
    <t>Learning &amp; Development</t>
  </si>
  <si>
    <t>DR29</t>
  </si>
  <si>
    <t>Remuneration and incentive framework</t>
  </si>
  <si>
    <t>Low</t>
  </si>
  <si>
    <t>DR30</t>
  </si>
  <si>
    <t>WHS reports, including psychosocial risk assessments</t>
  </si>
  <si>
    <t>WHS lead</t>
  </si>
  <si>
    <t>DR31</t>
  </si>
  <si>
    <t>Values, behaviours and leadership frameworks</t>
  </si>
  <si>
    <t>DR32</t>
  </si>
  <si>
    <t>KPI framework, scorecards and monthly management reporting pack</t>
  </si>
  <si>
    <t>Finance / Performance</t>
  </si>
  <si>
    <t>DR33</t>
  </si>
  <si>
    <t>Planning and budget calendar</t>
  </si>
  <si>
    <t>D10; D16</t>
  </si>
  <si>
    <t>DR34</t>
  </si>
  <si>
    <t>Technology strategy and roadmap</t>
  </si>
  <si>
    <t>CIO</t>
  </si>
  <si>
    <t>DR35</t>
  </si>
  <si>
    <t>Application inventory / CMDB extract</t>
  </si>
  <si>
    <t>IT</t>
  </si>
  <si>
    <t>DR36</t>
  </si>
  <si>
    <t>Enterprise architecture: current and target state</t>
  </si>
  <si>
    <t>DR37</t>
  </si>
  <si>
    <t>IT organisation chart and IT operating model</t>
  </si>
  <si>
    <t>DR38</t>
  </si>
  <si>
    <t>IT service management performance reports</t>
  </si>
  <si>
    <t>IT service manager</t>
  </si>
  <si>
    <t>DR39</t>
  </si>
  <si>
    <t>IT budget split by run / grow / transform</t>
  </si>
  <si>
    <t>D11; D16</t>
  </si>
  <si>
    <t>CIO / Finance</t>
  </si>
  <si>
    <t>DR40</t>
  </si>
  <si>
    <t>Technical debt and end-of-life / end-of-support register</t>
  </si>
  <si>
    <t>DR41</t>
  </si>
  <si>
    <t>Data strategy and data governance framework</t>
  </si>
  <si>
    <t>Data lead</t>
  </si>
  <si>
    <t>DR42</t>
  </si>
  <si>
    <t>Data quality reports</t>
  </si>
  <si>
    <t>Data stewards</t>
  </si>
  <si>
    <t>DR43</t>
  </si>
  <si>
    <t>Records management policy and retention and disposal schedules</t>
  </si>
  <si>
    <t>Records manager</t>
  </si>
  <si>
    <t>DR44</t>
  </si>
  <si>
    <t>Privacy management plan and privacy impact assessments</t>
  </si>
  <si>
    <t>D12; D15</t>
  </si>
  <si>
    <t>Privacy officer</t>
  </si>
  <si>
    <t>DR45</t>
  </si>
  <si>
    <t>Supplier register and spend analysis (last two financial years)</t>
  </si>
  <si>
    <t>Procurement</t>
  </si>
  <si>
    <t>DR46</t>
  </si>
  <si>
    <t>Contract register with key contracts and expiry dates</t>
  </si>
  <si>
    <t>DR47</t>
  </si>
  <si>
    <t>Supplier performance scorecards</t>
  </si>
  <si>
    <t>Contract managers</t>
  </si>
  <si>
    <t>DR48</t>
  </si>
  <si>
    <t>Sourcing strategy and outsourcing agreements</t>
  </si>
  <si>
    <t>DR49</t>
  </si>
  <si>
    <t>Site list with FTE, functions and lease details</t>
  </si>
  <si>
    <t>Property</t>
  </si>
  <si>
    <t>DR50</t>
  </si>
  <si>
    <t>Space utilisation data</t>
  </si>
  <si>
    <t>DR51</t>
  </si>
  <si>
    <t>Hybrid / flexible work policy</t>
  </si>
  <si>
    <t>D14; D08</t>
  </si>
  <si>
    <t>DR52</t>
  </si>
  <si>
    <t>Risk management framework and risk appetite statement</t>
  </si>
  <si>
    <t>CRO</t>
  </si>
  <si>
    <t>DR53</t>
  </si>
  <si>
    <t>Enterprise risk register</t>
  </si>
  <si>
    <t>DR54</t>
  </si>
  <si>
    <t>Obligations register and regulatory change log</t>
  </si>
  <si>
    <t>Compliance</t>
  </si>
  <si>
    <t>DR55</t>
  </si>
  <si>
    <t>Compliance breach and incident registers</t>
  </si>
  <si>
    <t>DR56</t>
  </si>
  <si>
    <t>Internal audit plan, reports and action tracker</t>
  </si>
  <si>
    <t>Internal Audit</t>
  </si>
  <si>
    <t>DR57</t>
  </si>
  <si>
    <t>Cyber security assessments (Essential Eight, ISO/IEC 27001 SoA, penetration tests)</t>
  </si>
  <si>
    <t>CISO</t>
  </si>
  <si>
    <t>DR58</t>
  </si>
  <si>
    <t>Business continuity plans, business impact analysis and DR test results</t>
  </si>
  <si>
    <t>BCM lead</t>
  </si>
  <si>
    <t>DR59</t>
  </si>
  <si>
    <t>Regulator reports and correspondence (last two years)</t>
  </si>
  <si>
    <t>Compliance / Legal</t>
  </si>
  <si>
    <t>DR60</t>
  </si>
  <si>
    <t>Financial statements and annual report (last two years)</t>
  </si>
  <si>
    <t>DR61</t>
  </si>
  <si>
    <t>General ledger extract: cost by cost centre and cost type</t>
  </si>
  <si>
    <t>DR62</t>
  </si>
  <si>
    <t>Budget and latest forecast</t>
  </si>
  <si>
    <t>DR63</t>
  </si>
  <si>
    <t>Cost allocation / chargeback methodology</t>
  </si>
  <si>
    <t>DR64</t>
  </si>
  <si>
    <t>Business case template and investment committee papers</t>
  </si>
  <si>
    <t>Finance / PMO</t>
  </si>
  <si>
    <t>DR65</t>
  </si>
  <si>
    <t>Project and program portfolio register and status reports</t>
  </si>
  <si>
    <t>PMO</t>
  </si>
  <si>
    <t>DR66</t>
  </si>
  <si>
    <t>PMO / delivery framework and methodology</t>
  </si>
  <si>
    <t>DR67</t>
  </si>
  <si>
    <t>Benefits register and benefits realisation reports</t>
  </si>
  <si>
    <t>DR68</t>
  </si>
  <si>
    <t>Change heat map / change calendar</t>
  </si>
  <si>
    <t>Change lead</t>
  </si>
  <si>
    <t>DR69</t>
  </si>
  <si>
    <t>Lessons-learned register and post-implementation reviews</t>
  </si>
  <si>
    <t>DR70</t>
  </si>
  <si>
    <t>DR71</t>
  </si>
  <si>
    <t>DR72</t>
  </si>
  <si>
    <t>DR73</t>
  </si>
  <si>
    <t>DR74</t>
  </si>
  <si>
    <t>DR75</t>
  </si>
  <si>
    <t>DR76</t>
  </si>
  <si>
    <t>DR77</t>
  </si>
  <si>
    <t>DR78</t>
  </si>
  <si>
    <t>DR79</t>
  </si>
  <si>
    <t>DR80</t>
  </si>
  <si>
    <t>DR81</t>
  </si>
  <si>
    <t>DR82</t>
  </si>
  <si>
    <t>DR83</t>
  </si>
  <si>
    <t>DR84</t>
  </si>
  <si>
    <t>Operating Model Maturity Assessment</t>
  </si>
  <si>
    <t>Score current and target maturity for each question (1–5, or N/A). Importance: 1 = low, 2 = medium, 3 = high. Gap = target − current; weighted gap = gap × importance (shortfalls only).</t>
  </si>
  <si>
    <t>Sub-component</t>
  </si>
  <si>
    <t>Assessment question</t>
  </si>
  <si>
    <t>What good looks like</t>
  </si>
  <si>
    <t>Importance (1–3)</t>
  </si>
  <si>
    <t>Current maturity (1–5 / N/A)</t>
  </si>
  <si>
    <t>Target maturity (1–5)</t>
  </si>
  <si>
    <t>Gap</t>
  </si>
  <si>
    <t>Weighted gap</t>
  </si>
  <si>
    <t>RAG</t>
  </si>
  <si>
    <t>Evidence confidence</t>
  </si>
  <si>
    <t>Evidence reviewed / source</t>
  </si>
  <si>
    <t>Observations &amp; findings</t>
  </si>
  <si>
    <t>Linked finding ID(s)</t>
  </si>
  <si>
    <t>Evidence to request</t>
  </si>
  <si>
    <t>Key stakeholders</t>
  </si>
  <si>
    <t>D01  Strategy &amp; Direction</t>
  </si>
  <si>
    <t>D01.01</t>
  </si>
  <si>
    <t>Purpose &amp; vision</t>
  </si>
  <si>
    <t>Is there a clearly articulated purpose, vision and mission that is understood across the organisation?</t>
  </si>
  <si>
    <t>Purpose and vision are documented and current. Staff at all levels can explain them and how their work contributes.</t>
  </si>
  <si>
    <t>Strategic plan; vision and mission statements; staff engagement survey results</t>
  </si>
  <si>
    <t>CEO; Executive team; Frontline staff</t>
  </si>
  <si>
    <t>D01.02</t>
  </si>
  <si>
    <t>Strategic objectives</t>
  </si>
  <si>
    <t>Are strategic objectives specific, measurable and time-bound, with clear priorities and trade-offs?</t>
  </si>
  <si>
    <t>A small number of prioritised objectives with measures, targets and owners, plus explicit statements of what the organisation will not do.</t>
  </si>
  <si>
    <t>Strategic or corporate plan; board papers</t>
  </si>
  <si>
    <t>CEO; Executive team; Board</t>
  </si>
  <si>
    <t>D01.03</t>
  </si>
  <si>
    <t>Strategic choices</t>
  </si>
  <si>
    <t>Has the organisation made explicit choices about where it operates, whom it serves and how it creates value?</t>
  </si>
  <si>
    <t>Documented choices on target segments, services, channels and sources of advantage that directly inform operating model design.</t>
  </si>
  <si>
    <t>Strategy documents; market analysis; business cases</t>
  </si>
  <si>
    <t>CEO; Strategy lead</t>
  </si>
  <si>
    <t>D01.04</t>
  </si>
  <si>
    <t>External environment</t>
  </si>
  <si>
    <t>Does the strategy reflect a current understanding of the external environment (market, regulatory, technology, economic, social)?</t>
  </si>
  <si>
    <t>Regular environmental scanning (e.g. PESTLE) feeds strategy refresh. Emerging regulatory and technology changes are anticipated.</t>
  </si>
  <si>
    <t>PESTLE / SWOT analyses; horizon-scanning reports; regulatory change updates</t>
  </si>
  <si>
    <t>Strategy lead; Risk &amp; Compliance</t>
  </si>
  <si>
    <t>D01.05</t>
  </si>
  <si>
    <t>Design principles</t>
  </si>
  <si>
    <t>Are there agreed operating model design principles that guide how the organisation is structured and operates?</t>
  </si>
  <si>
    <t>Six to ten principles (e.g. 'customer first', 'standardise unless differentiating', 'digital by default') endorsed by the executive and used to test design decisions.</t>
  </si>
  <si>
    <t>Operating model documentation; design principles; executive decisions</t>
  </si>
  <si>
    <t>Executive team; COO</t>
  </si>
  <si>
    <t>D01.06</t>
  </si>
  <si>
    <t>Strategy to execution</t>
  </si>
  <si>
    <t>Is there a clear line of sight from strategy to portfolios, business plans, budgets and individual objectives?</t>
  </si>
  <si>
    <t>Strategy cascades into business unit plans, the investment portfolio, budgets and individual performance plans with traceable links.</t>
  </si>
  <si>
    <t>Business unit plans; portfolio register; budget; performance agreements</t>
  </si>
  <si>
    <t>Executive team; PMO; Finance</t>
  </si>
  <si>
    <t>D01.07</t>
  </si>
  <si>
    <t>Strategy communication</t>
  </si>
  <si>
    <t>How effectively is the strategy communicated to, and understood by, staff, partners and other stakeholders?</t>
  </si>
  <si>
    <t>Structured communication plan. Staff can articulate strategic priorities; progress is discussed through regular two-way engagement.</t>
  </si>
  <si>
    <t>Internal communication plans; intranet content; engagement survey</t>
  </si>
  <si>
    <t>Communications; Frontline staff</t>
  </si>
  <si>
    <t>D01.08</t>
  </si>
  <si>
    <t>Strategy review</t>
  </si>
  <si>
    <t>Is progress against the strategy reviewed regularly and the strategy adjusted in response to performance and change?</t>
  </si>
  <si>
    <t>Quarterly strategy reviews by the executive and board, with documented adjustments and re-prioritisation.</t>
  </si>
  <si>
    <t>Board and executive minutes; strategy performance reports</t>
  </si>
  <si>
    <t>CEO; Board; Strategy lead</t>
  </si>
  <si>
    <t>D01.09</t>
  </si>
  <si>
    <t>Sustainability &amp; ESG</t>
  </si>
  <si>
    <t>Are sustainability, ESG and social-licence considerations embedded in the strategy?</t>
  </si>
  <si>
    <t>ESG objectives integrated into the strategy with measures. Climate-related risks and opportunities identified and disclosed where required.</t>
  </si>
  <si>
    <t>ESG / sustainability strategy; climate risk assessment; annual report</t>
  </si>
  <si>
    <t>CEO; CFO; Sustainability lead</t>
  </si>
  <si>
    <t>D02  Customers, Channels &amp; Value Proposition</t>
  </si>
  <si>
    <t>D02.01</t>
  </si>
  <si>
    <t>Customer segments</t>
  </si>
  <si>
    <t>Are customer or stakeholder segments clearly defined, with an understanding of their needs and value?</t>
  </si>
  <si>
    <t>Evidence-based segmentation describing the needs, behaviours, value and cost to serve of each segment.</t>
  </si>
  <si>
    <t>Segmentation studies; customer research; CRM analysis</t>
  </si>
  <si>
    <t>Customer / Marketing lead; Product owners</t>
  </si>
  <si>
    <t>D02.02</t>
  </si>
  <si>
    <t>Value proposition</t>
  </si>
  <si>
    <t>Is the value proposition for each segment clearly articulated and differentiated?</t>
  </si>
  <si>
    <t>Documented value propositions per segment, tested with customers and reflected in services and channels.</t>
  </si>
  <si>
    <t>Value proposition documents; brand strategy; customer research</t>
  </si>
  <si>
    <t>Executive team; Marketing</t>
  </si>
  <si>
    <t>D02.03</t>
  </si>
  <si>
    <t>Customer journeys</t>
  </si>
  <si>
    <t>Have the key end-to-end customer journeys been mapped, including pain points and moments that matter?</t>
  </si>
  <si>
    <t>Priority journeys mapped from the customer's perspective, with pain points quantified and owners assigned.</t>
  </si>
  <si>
    <t>Journey maps; service blueprints; complaints analysis</t>
  </si>
  <si>
    <t>CX lead; Operations managers</t>
  </si>
  <si>
    <t>D02.04</t>
  </si>
  <si>
    <t>Channel strategy</t>
  </si>
  <si>
    <t>Is there a deliberate channel strategy (digital, phone, face-to-face, partner) aligned to customer needs and cost to serve?</t>
  </si>
  <si>
    <t>Channel roles defined by segment and interaction type; digital first where appropriate; consistent experience across channels.</t>
  </si>
  <si>
    <t>Channel strategy; channel volume and cost data; digital analytics</t>
  </si>
  <si>
    <t>CX lead; Digital lead; Contact centre manager</t>
  </si>
  <si>
    <t>D02.05</t>
  </si>
  <si>
    <t>Omnichannel consistency</t>
  </si>
  <si>
    <t>Do customers receive a consistent experience and consistent information across channels?</t>
  </si>
  <si>
    <t>Single view of the customer and a shared knowledge base across channels. Customers do not need to repeat themselves.</t>
  </si>
  <si>
    <t>CRM architecture; knowledge management system; mystery shopping results</t>
  </si>
  <si>
    <t>Contact centre; Digital; IT</t>
  </si>
  <si>
    <t>D02.06</t>
  </si>
  <si>
    <t>Voice of customer</t>
  </si>
  <si>
    <t>Are customer feedback, complaints and satisfaction systematically captured, analysed and acted upon?</t>
  </si>
  <si>
    <t>Closed-loop voice-of-customer program (NPS / CSAT / CES) with root-cause analysis and evidence of changes made.</t>
  </si>
  <si>
    <t>VoC reports; complaints register; NPS / CSAT trends</t>
  </si>
  <si>
    <t>CX lead; Complaints manager</t>
  </si>
  <si>
    <t>D02.07</t>
  </si>
  <si>
    <t>Service standards</t>
  </si>
  <si>
    <t>Are customer service standards and commitments defined, published and measured?</t>
  </si>
  <si>
    <t>Published service charter or SLAs, with performance reported and remediation when targets are missed.</t>
  </si>
  <si>
    <t>Service charter; SLA performance reports</t>
  </si>
  <si>
    <t>Operations managers; CX lead</t>
  </si>
  <si>
    <t>D02.08</t>
  </si>
  <si>
    <t>Customer insight</t>
  </si>
  <si>
    <t>Does the organisation use customer data and insight to design and improve services?</t>
  </si>
  <si>
    <t>Customer analytics informs product, service and channel decisions; insights are shared across teams.</t>
  </si>
  <si>
    <t>Analytics reports; insight packs</t>
  </si>
  <si>
    <t>Data &amp; Analytics; Marketing</t>
  </si>
  <si>
    <t>D02.09</t>
  </si>
  <si>
    <t>Accessibility &amp; inclusion</t>
  </si>
  <si>
    <t>Are services accessible and inclusive for all customer groups, including customers experiencing vulnerability?</t>
  </si>
  <si>
    <t>Accessibility standards (e.g. WCAG 2.2 AA) met; vulnerable customer policy in place; inclusive design practised.</t>
  </si>
  <si>
    <t>Accessibility audits; vulnerable customer policy</t>
  </si>
  <si>
    <t>CX lead; Digital; Legal</t>
  </si>
  <si>
    <t>D03  Products &amp; Services</t>
  </si>
  <si>
    <t>D03.01</t>
  </si>
  <si>
    <t>Service catalogue</t>
  </si>
  <si>
    <t>Is there a complete, current catalogue of the products and services the organisation delivers (external and internal)?</t>
  </si>
  <si>
    <t>A single authoritative catalogue with owners, descriptions, customers, channels and service levels.</t>
  </si>
  <si>
    <t>Product / service catalogue; internal service catalogue</t>
  </si>
  <si>
    <t>Product owners; Operations</t>
  </si>
  <si>
    <t>D03.02</t>
  </si>
  <si>
    <t>Portfolio performance</t>
  </si>
  <si>
    <t>Is the performance, value or profitability of each product or service known?</t>
  </si>
  <si>
    <t>Revenue or value, cost, volumes and customer outcomes tracked for each product or service.</t>
  </si>
  <si>
    <t>Product P&amp;Ls; product performance reports</t>
  </si>
  <si>
    <t>CFO; Product owners</t>
  </si>
  <si>
    <t>D03.03</t>
  </si>
  <si>
    <t>Product ownership</t>
  </si>
  <si>
    <t>Does every product or service have an accountable owner with end-to-end responsibility?</t>
  </si>
  <si>
    <t>Named owners accountable for outcomes, lifecycle and performance.</t>
  </si>
  <si>
    <t>Role descriptions; product governance documents</t>
  </si>
  <si>
    <t>Product owners; Executive team</t>
  </si>
  <si>
    <t>D03.04</t>
  </si>
  <si>
    <t>Lifecycle management</t>
  </si>
  <si>
    <t>Is there a defined lifecycle process for designing, launching, changing and retiring products and services?</t>
  </si>
  <si>
    <t>Stage-gated lifecycle with criteria for launch, review and retirement, applied consistently.</t>
  </si>
  <si>
    <t>Product lifecycle process; product committee minutes</t>
  </si>
  <si>
    <t>Product owners; Risk</t>
  </si>
  <si>
    <t>D03.05</t>
  </si>
  <si>
    <t>Portfolio complexity</t>
  </si>
  <si>
    <t>Is portfolio complexity actively managed (e.g. overlapping, legacy or low-value products rationalised)?</t>
  </si>
  <si>
    <t>Periodic rationalisation reviews. The cost of complexity is understood; legacy products are migrated or retired.</t>
  </si>
  <si>
    <t>Rationalisation reviews; product counts over time</t>
  </si>
  <si>
    <t>Product owners; Finance</t>
  </si>
  <si>
    <t>D03.06</t>
  </si>
  <si>
    <t>Innovation pipeline</t>
  </si>
  <si>
    <t>Is there a pipeline of new or improved products and services linked to strategy and customer insight?</t>
  </si>
  <si>
    <t>Managed pipeline with prioritisation criteria, a test-and-learn approach and clear funding.</t>
  </si>
  <si>
    <t>Innovation pipeline; business cases</t>
  </si>
  <si>
    <t>Strategy; Product</t>
  </si>
  <si>
    <t>D03.07</t>
  </si>
  <si>
    <t>Pricing &amp; funding</t>
  </si>
  <si>
    <t>Are pricing, fees or funding arrangements for services understood, justified and reviewed?</t>
  </si>
  <si>
    <t>Pricing and funding models linked to cost-to-serve and value, and reviewed at least annually.</t>
  </si>
  <si>
    <t>Pricing policy; funding agreements</t>
  </si>
  <si>
    <t>D03.08</t>
  </si>
  <si>
    <t>Product obligations</t>
  </si>
  <si>
    <t>Are product-related regulatory obligations (e.g. consumer law, design and distribution) identified and met?</t>
  </si>
  <si>
    <t>Obligations mapped to each product with controls and monitoring (e.g. target market determinations where applicable).</t>
  </si>
  <si>
    <t>Obligations register; product compliance reviews</t>
  </si>
  <si>
    <t>Risk &amp; Compliance; Legal</t>
  </si>
  <si>
    <t>D04  Value Streams &amp; Processes</t>
  </si>
  <si>
    <t>D04.01</t>
  </si>
  <si>
    <t>Value streams</t>
  </si>
  <si>
    <t>Have the organisation's end-to-end value streams been identified (e.g. request-to-resolve, procure-to-pay, hire-to-retire)?</t>
  </si>
  <si>
    <t>Value streams defined from trigger to outcome, with stages, stakeholders and value items.</t>
  </si>
  <si>
    <t>Value stream maps; business architecture artefacts</t>
  </si>
  <si>
    <t>COO; Business architect</t>
  </si>
  <si>
    <t>D04.02</t>
  </si>
  <si>
    <t>Process architecture</t>
  </si>
  <si>
    <t>Is there a structured process architecture (Level 0 to Level 3) covering core and supporting processes?</t>
  </si>
  <si>
    <t>Documented process hierarchy aligned to a reference model (e.g. APQC PCF) and actively maintained.</t>
  </si>
  <si>
    <t>Process architecture; process repository</t>
  </si>
  <si>
    <t>Process owners; BA / process team</t>
  </si>
  <si>
    <t>D04.03</t>
  </si>
  <si>
    <t>Process ownership</t>
  </si>
  <si>
    <t>Do end-to-end processes have accountable owners with authority across organisational boundaries?</t>
  </si>
  <si>
    <t>Named end-to-end process owners with a mandate, performance measures and improvement responsibility.</t>
  </si>
  <si>
    <t>RACI; role descriptions</t>
  </si>
  <si>
    <t>COO; Process owners</t>
  </si>
  <si>
    <t>D04.04</t>
  </si>
  <si>
    <t>Documentation</t>
  </si>
  <si>
    <t>Are key processes documented, current and accessible to the people who perform them?</t>
  </si>
  <si>
    <t>Processes documented in a common notation (e.g. BPMN 2.0) in a central repository with version control and review dates.</t>
  </si>
  <si>
    <t>Process maps; standard operating procedures; work instructions</t>
  </si>
  <si>
    <t>Process owners; Frontline staff</t>
  </si>
  <si>
    <t>D04.05</t>
  </si>
  <si>
    <t>Standardisation</t>
  </si>
  <si>
    <t>Are processes standardised across business units and locations where there is no reason for variation?</t>
  </si>
  <si>
    <t>Common processes adopted by default. Variations are deliberate, justified and documented.</t>
  </si>
  <si>
    <t>Process comparisons across units; audit findings</t>
  </si>
  <si>
    <t>Operations managers</t>
  </si>
  <si>
    <t>D04.06</t>
  </si>
  <si>
    <t>Efficiency &amp; waste</t>
  </si>
  <si>
    <t>Are processes efficient, with minimal rework, hand-offs, delays and manual workarounds?</t>
  </si>
  <si>
    <t>Process performance analysed (cycle time, rework, touchpoints) and waste systematically removed using Lean methods.</t>
  </si>
  <si>
    <t>Process metrics; time-and-motion studies; workaround inventory</t>
  </si>
  <si>
    <t>Operations managers; Frontline staff</t>
  </si>
  <si>
    <t>D04.07</t>
  </si>
  <si>
    <t>Automation</t>
  </si>
  <si>
    <t>What level of automation is applied, and are automation opportunities (including RPA and AI) identified and prioritised?</t>
  </si>
  <si>
    <t>Automation pipeline with business cases. High-volume, rules-based work is automated, with controls over bots and AI.</t>
  </si>
  <si>
    <t>Automation register; RPA / AI use-case inventory</t>
  </si>
  <si>
    <t>IT; Operations; Digital</t>
  </si>
  <si>
    <t>D04.08</t>
  </si>
  <si>
    <t>Process performance</t>
  </si>
  <si>
    <t>Are process KPIs (volume, cycle time, cost, quality, compliance) defined and monitored?</t>
  </si>
  <si>
    <t>Process dashboards reviewed regularly by owners, with targets and corrective action.</t>
  </si>
  <si>
    <t>Process dashboards; operational reports</t>
  </si>
  <si>
    <t>Process owners; Operations managers</t>
  </si>
  <si>
    <t>D04.09</t>
  </si>
  <si>
    <t>Hand-offs &amp; interfaces</t>
  </si>
  <si>
    <t>Are hand-offs between teams, functions and third parties clearly defined and managed?</t>
  </si>
  <si>
    <t>Clear hand-off points, internal service agreements (OLAs) between teams, and minimal queues between steps.</t>
  </si>
  <si>
    <t>Swimlane maps; internal SLAs / OLAs</t>
  </si>
  <si>
    <t>Operations managers; Team leaders</t>
  </si>
  <si>
    <t>D04.10</t>
  </si>
  <si>
    <t>Embedded controls</t>
  </si>
  <si>
    <t>Are key risk and compliance controls embedded in processes rather than applied after the fact?</t>
  </si>
  <si>
    <t>Controls designed into processes, mapped to risks and obligations, and tested.</t>
  </si>
  <si>
    <t>Control library; risk and control matrix (RCM)</t>
  </si>
  <si>
    <t>Risk &amp; Compliance; Process owners</t>
  </si>
  <si>
    <t>D05  Business Capabilities</t>
  </si>
  <si>
    <t>D05.01</t>
  </si>
  <si>
    <t>Capability map</t>
  </si>
  <si>
    <t>Does the organisation have a current business capability map describing what it does, independent of how?</t>
  </si>
  <si>
    <t>Levelled capability map (L1 to L3) endorsed by executives and used in planning and investment decisions.</t>
  </si>
  <si>
    <t>Capability map; business architecture artefacts</t>
  </si>
  <si>
    <t>Enterprise / business architect; Strategy</t>
  </si>
  <si>
    <t>D05.02</t>
  </si>
  <si>
    <t>Strategic importance</t>
  </si>
  <si>
    <t>Have capabilities been classified by strategic importance and differentiation (differentiating vs commodity)?</t>
  </si>
  <si>
    <t>Each capability rated for strategic importance and differentiation, informing sourcing and investment.</t>
  </si>
  <si>
    <t>Capability heat maps; strategy documents</t>
  </si>
  <si>
    <t>Executive team; Architecture</t>
  </si>
  <si>
    <t>D05.03</t>
  </si>
  <si>
    <t>Capability maturity</t>
  </si>
  <si>
    <t>Has capability maturity been assessed across people, process, technology and information?</t>
  </si>
  <si>
    <t>Periodic, evidence-based maturity assessment with a target maturity for each capability.</t>
  </si>
  <si>
    <t>Capability assessments; maturity reports</t>
  </si>
  <si>
    <t>Capability owners; Architecture</t>
  </si>
  <si>
    <t>D05.04</t>
  </si>
  <si>
    <t>Capability ownership</t>
  </si>
  <si>
    <t>Is there a named owner for each capability, accountable for its performance and uplift?</t>
  </si>
  <si>
    <t>Capability owners identified with clear accountability and uplift plans.</t>
  </si>
  <si>
    <t>Capability ownership register</t>
  </si>
  <si>
    <t>Executive team</t>
  </si>
  <si>
    <t>D05.05</t>
  </si>
  <si>
    <t>Investment alignment</t>
  </si>
  <si>
    <t>Is investment directed to the capabilities that matter most to the strategy?</t>
  </si>
  <si>
    <t>Portfolio investment mapped to capabilities, with spend weighted towards strategic gaps.</t>
  </si>
  <si>
    <t>Investment portfolio mapped to capabilities; budget</t>
  </si>
  <si>
    <t>PMO; CFO; Architecture</t>
  </si>
  <si>
    <t>D05.06</t>
  </si>
  <si>
    <t>Capability gaps</t>
  </si>
  <si>
    <t>Are gaps between current and required capabilities identified, with plans to close them?</t>
  </si>
  <si>
    <t>Gap analysis linked to roadmap initiatives with timeframes and funding.</t>
  </si>
  <si>
    <t>Gap analyses; roadmaps</t>
  </si>
  <si>
    <t>Architecture; Strategy</t>
  </si>
  <si>
    <t>D05.07</t>
  </si>
  <si>
    <t>Capability duplication</t>
  </si>
  <si>
    <t>Are capabilities duplicated across business units, and is any duplication deliberate?</t>
  </si>
  <si>
    <t>Duplication identified; consolidation or shared services considered where appropriate.</t>
  </si>
  <si>
    <t>Capability-to-organisation mapping</t>
  </si>
  <si>
    <t>COO; Architecture</t>
  </si>
  <si>
    <t>D05.08</t>
  </si>
  <si>
    <t>Capability sourcing</t>
  </si>
  <si>
    <t>Is there a deliberate decision on which capabilities are delivered in-house, shared, outsourced or partnered?</t>
  </si>
  <si>
    <t>Sourcing decisions follow a documented framework linked to differentiation, cost and risk.</t>
  </si>
  <si>
    <t>Sourcing strategy; outsourcing contracts</t>
  </si>
  <si>
    <t>COO; Procurement</t>
  </si>
  <si>
    <t>D06  Organisation Structure &amp; Roles</t>
  </si>
  <si>
    <t>D06.01</t>
  </si>
  <si>
    <t>Structural archetype</t>
  </si>
  <si>
    <t>Is the organisational structure (functional, divisional, matrix, product / platform, network) aligned to the strategy and design principles?</t>
  </si>
  <si>
    <t>Structure explicitly linked to strategy with a documented rationale. Trade-offs are understood and managed.</t>
  </si>
  <si>
    <t>Organisation charts; restructure business cases</t>
  </si>
  <si>
    <t>CEO; CHRO; Executive team</t>
  </si>
  <si>
    <t>D06.02</t>
  </si>
  <si>
    <t>Spans of control</t>
  </si>
  <si>
    <t>Are spans of control appropriate for the nature of the work?</t>
  </si>
  <si>
    <t>Spans within agreed benchmarks (see Lists tab); outliers are justified.</t>
  </si>
  <si>
    <t>HR system extract (reporting lines); organisation charts</t>
  </si>
  <si>
    <t>CHRO; HR analytics</t>
  </si>
  <si>
    <t>D06.03</t>
  </si>
  <si>
    <t>Layers</t>
  </si>
  <si>
    <t>Is the number of management layers appropriate for the organisation's size and complexity?</t>
  </si>
  <si>
    <t>Minimal layers between the CEO and the frontline (commonly 5 to 7 for large organisations); decisions are not slowed by hierarchy.</t>
  </si>
  <si>
    <t>HR system extract; organisation charts</t>
  </si>
  <si>
    <t>D06.04</t>
  </si>
  <si>
    <t>Centralisation vs devolution</t>
  </si>
  <si>
    <t>Is there a clear, deliberate balance between centralised, shared and devolved functions?</t>
  </si>
  <si>
    <t>The rationale for what is centralised versus local is documented; there are minimal shadow functions.</t>
  </si>
  <si>
    <t>Functional model documentation; cost data</t>
  </si>
  <si>
    <t>COO; CFO; CHRO</t>
  </si>
  <si>
    <t>D06.05</t>
  </si>
  <si>
    <t>Shared services &amp; CoEs</t>
  </si>
  <si>
    <t>Are shared services and centres of excellence used where they add value, with clear service agreements?</t>
  </si>
  <si>
    <t>Shared services operate with service catalogues, SLAs and customer satisfaction measures.</t>
  </si>
  <si>
    <t>Shared services catalogue; SLAs; satisfaction surveys</t>
  </si>
  <si>
    <t>Shared services leads; Business unit heads</t>
  </si>
  <si>
    <t>D06.06</t>
  </si>
  <si>
    <t>Role clarity</t>
  </si>
  <si>
    <t>Are roles, accountabilities and responsibilities clearly defined and understood?</t>
  </si>
  <si>
    <t>Current role descriptions and documented accountabilities, with little overlap or gaps between roles.</t>
  </si>
  <si>
    <t>Position descriptions; RACIs; engagement survey</t>
  </si>
  <si>
    <t>CHRO; Managers; Staff</t>
  </si>
  <si>
    <t>D06.07</t>
  </si>
  <si>
    <t>Duplication &amp; shadow functions</t>
  </si>
  <si>
    <t>Is there duplication of roles or activities across units (e.g. shadow finance, HR or IT teams)?</t>
  </si>
  <si>
    <t>Duplicated activity identified and deliberately resolved.</t>
  </si>
  <si>
    <t>Activity analysis; organisation charts; cost centre data</t>
  </si>
  <si>
    <t>CFO; CHRO; COO</t>
  </si>
  <si>
    <t>D06.08</t>
  </si>
  <si>
    <t>Interfaces &amp; collaboration</t>
  </si>
  <si>
    <t>Are interfaces between organisational units clearly defined, with effective mechanisms for cross-unit work?</t>
  </si>
  <si>
    <t>Cross-functional teams, forums and operating agreements support end-to-end delivery.</t>
  </si>
  <si>
    <t>Operating agreements; forum terms of reference</t>
  </si>
  <si>
    <t>Executive team; Managers</t>
  </si>
  <si>
    <t>D06.09</t>
  </si>
  <si>
    <t>Structural agility</t>
  </si>
  <si>
    <t>Can the structure adapt quickly to changing priorities (e.g. through cross-functional or agile teams)?</t>
  </si>
  <si>
    <t>Mechanisms exist to form and re-form teams around priorities without full restructures.</t>
  </si>
  <si>
    <t>Team models; resourcing processes</t>
  </si>
  <si>
    <t>COO; CHRO</t>
  </si>
  <si>
    <t>D07  Governance &amp; Decision Rights</t>
  </si>
  <si>
    <t>D07.01</t>
  </si>
  <si>
    <t>Governance framework</t>
  </si>
  <si>
    <t>Is there a documented governance framework showing the governing bodies and committees and how they relate?</t>
  </si>
  <si>
    <t>Governance map with a clear hierarchy, purpose, membership and reporting lines for each body.</t>
  </si>
  <si>
    <t>Governance framework; committee charters</t>
  </si>
  <si>
    <t>Company Secretary / Board Secretariat; CEO</t>
  </si>
  <si>
    <t>D07.02</t>
  </si>
  <si>
    <t>Committee effectiveness</t>
  </si>
  <si>
    <t>Do governance forums have clear terms of reference, the right membership and effective agendas?</t>
  </si>
  <si>
    <t>Current terms of reference. Forums focus on decisions rather than information; effectiveness is reviewed periodically.</t>
  </si>
  <si>
    <t>Terms of reference; agendas; minutes; effectiveness reviews</t>
  </si>
  <si>
    <t>Committee chairs; Secretariat</t>
  </si>
  <si>
    <t>D07.03</t>
  </si>
  <si>
    <t>Delegations of authority</t>
  </si>
  <si>
    <t>Are financial and non-financial delegations documented, current and understood?</t>
  </si>
  <si>
    <t>Delegations instrument aligned to structure and risk appetite, reviewed annually and system-enforced where possible.</t>
  </si>
  <si>
    <t>Delegations of authority schedule; system workflow rules</t>
  </si>
  <si>
    <t>CFO; Legal</t>
  </si>
  <si>
    <t>D07.04</t>
  </si>
  <si>
    <t>Decision rights</t>
  </si>
  <si>
    <t>Is it clear who recommends, agrees, decides and provides input on key decisions?</t>
  </si>
  <si>
    <t>Decision rights (e.g. RAPID or RACI) defined for key decisions, which are made at the lowest appropriate level.</t>
  </si>
  <si>
    <t>Decision rights matrix; RACI</t>
  </si>
  <si>
    <t>D07.05</t>
  </si>
  <si>
    <t>Decision speed</t>
  </si>
  <si>
    <t>Are decisions made in a timely way, without excessive escalation or duplication of forums?</t>
  </si>
  <si>
    <t>Reasonable decision cycle times, little re-litigation of decisions and clear escalation thresholds.</t>
  </si>
  <si>
    <t>Decision logs; minutes; interview evidence</t>
  </si>
  <si>
    <t>D07.06</t>
  </si>
  <si>
    <t>Policy framework</t>
  </si>
  <si>
    <t>Is there a structured policy framework with ownership, review cycles and alignment to obligations?</t>
  </si>
  <si>
    <t>Policy hierarchy (policy, standard, procedure) with owners, review dates and attestation.</t>
  </si>
  <si>
    <t>Policy register; policy framework</t>
  </si>
  <si>
    <t>Risk &amp; Compliance; Policy owners</t>
  </si>
  <si>
    <t>D07.07</t>
  </si>
  <si>
    <t>Board &amp; executive oversight</t>
  </si>
  <si>
    <t>Does the board and executive receive timely, decision-useful information on performance, risk and change?</t>
  </si>
  <si>
    <t>Integrated reporting to the board covering strategy, performance, risk and major programs.</t>
  </si>
  <si>
    <t>Board packs; executive reports</t>
  </si>
  <si>
    <t>Board; CEO; Company Secretary</t>
  </si>
  <si>
    <t>D07.08</t>
  </si>
  <si>
    <t>Three lines</t>
  </si>
  <si>
    <t>Are roles across the three lines (management, risk and compliance oversight, independent assurance) clear and effective?</t>
  </si>
  <si>
    <t>Clear separation of accountabilities between the first, second and third lines, with a coordinated assurance map.</t>
  </si>
  <si>
    <t>Assurance map; risk framework; internal audit charter</t>
  </si>
  <si>
    <t>CRO; Head of Internal Audit</t>
  </si>
  <si>
    <t>D07.09</t>
  </si>
  <si>
    <t>Transparency &amp; accountability</t>
  </si>
  <si>
    <t>Are decisions, rationale and accountabilities recorded and traceable?</t>
  </si>
  <si>
    <t>Decision registers, minutes and action logs maintained and followed up.</t>
  </si>
  <si>
    <t>Decision and action registers</t>
  </si>
  <si>
    <t>Secretariat; PMO</t>
  </si>
  <si>
    <t>D08  People, Workforce &amp; Skills</t>
  </si>
  <si>
    <t>D08.01</t>
  </si>
  <si>
    <t>Workforce planning</t>
  </si>
  <si>
    <t>Is there a strategic workforce plan linking future capability needs to the strategy?</t>
  </si>
  <si>
    <t>Three-to-five-year workforce plan with supply and demand analysis, critical roles and actions.</t>
  </si>
  <si>
    <t>Strategic workforce plan; workforce analytics</t>
  </si>
  <si>
    <t>CHRO; Executive team</t>
  </si>
  <si>
    <t>D08.02</t>
  </si>
  <si>
    <t>Workforce mix</t>
  </si>
  <si>
    <t>Is the workforce mix (permanent, fixed-term, contractor, outsourced, offshore) deliberate and cost-effective?</t>
  </si>
  <si>
    <t>Target workforce mix defined by capability; contractor reliance monitored and justified.</t>
  </si>
  <si>
    <t>Headcount / FTE by employment type; contractor spend</t>
  </si>
  <si>
    <t>CHRO; CFO; Procurement</t>
  </si>
  <si>
    <t>D08.03</t>
  </si>
  <si>
    <t>Capacity &amp; demand</t>
  </si>
  <si>
    <t>Is workforce capacity matched to demand, with visibility of utilisation and backlogs?</t>
  </si>
  <si>
    <t>Demand forecasting and capacity planning used; resources rebalanced as demand changes.</t>
  </si>
  <si>
    <t>Capacity models; rosters; backlog data</t>
  </si>
  <si>
    <t>Operations managers; Workforce planning</t>
  </si>
  <si>
    <t>D08.04</t>
  </si>
  <si>
    <t>Skills &amp; capability</t>
  </si>
  <si>
    <t>Are current skills known, and are gaps against future needs identified?</t>
  </si>
  <si>
    <t>Skills framework and inventory in place; gaps quantified and addressed through development plans.</t>
  </si>
  <si>
    <t>Skills framework; capability assessments; training records</t>
  </si>
  <si>
    <t>CHRO; Learning &amp; Development</t>
  </si>
  <si>
    <t>D08.05</t>
  </si>
  <si>
    <t>Critical roles &amp; succession</t>
  </si>
  <si>
    <t>Are critical roles and key-person dependencies identified, with succession plans?</t>
  </si>
  <si>
    <t>Critical roles identified, with ready-now successors and captured knowledge.</t>
  </si>
  <si>
    <t>Succession plans; key-person risk register</t>
  </si>
  <si>
    <t>D08.06</t>
  </si>
  <si>
    <t>Attraction &amp; retention</t>
  </si>
  <si>
    <t>Can the organisation attract and retain the talent it needs?</t>
  </si>
  <si>
    <t>Competitive employee value proposition; turnover, time-to-fill and regretted losses within targets.</t>
  </si>
  <si>
    <t>Turnover data; recruitment metrics; exit interview themes</t>
  </si>
  <si>
    <t>CHRO; Talent acquisition</t>
  </si>
  <si>
    <t>D08.07</t>
  </si>
  <si>
    <t>Performance &amp; development</t>
  </si>
  <si>
    <t>Is there an effective performance and development framework linked to objectives and behaviours?</t>
  </si>
  <si>
    <t>Regular performance conversations; objectives cascaded from strategy; development plans in place.</t>
  </si>
  <si>
    <t>Performance framework; completion rates</t>
  </si>
  <si>
    <t>CHRO; Managers</t>
  </si>
  <si>
    <t>D08.08</t>
  </si>
  <si>
    <t>Reward &amp; recognition</t>
  </si>
  <si>
    <t>Do reward and recognition mechanisms reinforce the desired outcomes and behaviours?</t>
  </si>
  <si>
    <t>Remuneration and incentives aligned to strategy, risk and behaviours; pay equity monitored.</t>
  </si>
  <si>
    <t>Remuneration framework; incentive plans; pay equity analysis</t>
  </si>
  <si>
    <t>CHRO; Remuneration committee</t>
  </si>
  <si>
    <t>D08.09</t>
  </si>
  <si>
    <t>WHS &amp; wellbeing</t>
  </si>
  <si>
    <t>Are work health and safety risks, including psychosocial hazards, managed effectively?</t>
  </si>
  <si>
    <t>WHS management system in place; psychosocial risks identified and controlled in line with WHS regulations.</t>
  </si>
  <si>
    <t>WHS reports; psychosocial risk assessments; incident data</t>
  </si>
  <si>
    <t>WHS lead; CHRO</t>
  </si>
  <si>
    <t>D08.10</t>
  </si>
  <si>
    <t>Employee engagement</t>
  </si>
  <si>
    <t>Is employee engagement measured and acted upon?</t>
  </si>
  <si>
    <t>Regular engagement surveys with action plans and visible follow-through.</t>
  </si>
  <si>
    <t>Engagement survey results and action plans</t>
  </si>
  <si>
    <t>D09  Culture, Leadership &amp; Behaviours</t>
  </si>
  <si>
    <t>D09.01</t>
  </si>
  <si>
    <t>Values &amp; behaviours</t>
  </si>
  <si>
    <t>Are organisational values defined and translated into observable behaviours?</t>
  </si>
  <si>
    <t>Values embedded in recruitment, performance and recognition; behaviours are observable in practice.</t>
  </si>
  <si>
    <t>Values framework; behavioural competencies</t>
  </si>
  <si>
    <t>CEO; CHRO; Staff</t>
  </si>
  <si>
    <t>D09.02</t>
  </si>
  <si>
    <t>Culture diagnosis</t>
  </si>
  <si>
    <t>Has the current culture been diagnosed and compared with the culture needed to deliver the strategy?</t>
  </si>
  <si>
    <t>Culture diagnostic completed; priority culture shifts defined and tracked.</t>
  </si>
  <si>
    <t>Culture surveys; diagnostics</t>
  </si>
  <si>
    <t>D09.03</t>
  </si>
  <si>
    <t>Leadership capability</t>
  </si>
  <si>
    <t>Do leaders have the capability to lead through change and deliver the strategy?</t>
  </si>
  <si>
    <t>Leadership framework, development programs and 360-degree feedback; leaders role-model desired behaviours.</t>
  </si>
  <si>
    <t>Leadership framework; 360 results; development programs</t>
  </si>
  <si>
    <t>CEO; CHRO</t>
  </si>
  <si>
    <t>D09.04</t>
  </si>
  <si>
    <t>Accountability</t>
  </si>
  <si>
    <t>Do people take ownership of outcomes, and are they held to account constructively?</t>
  </si>
  <si>
    <t>Clear expectations, consequences and recognition; issues raised and resolved without blame.</t>
  </si>
  <si>
    <t>Engagement survey; performance data; interviews</t>
  </si>
  <si>
    <t>Managers; Staff</t>
  </si>
  <si>
    <t>D09.05</t>
  </si>
  <si>
    <t>Collaboration</t>
  </si>
  <si>
    <t>Is there effective collaboration across teams and functions, or are silos evident?</t>
  </si>
  <si>
    <t>Cross-functional collaboration is the norm, with shared goals across units and little siloed behaviour.</t>
  </si>
  <si>
    <t>Engagement survey; organisational network analysis; interviews</t>
  </si>
  <si>
    <t>D09.06</t>
  </si>
  <si>
    <t>Customer centricity</t>
  </si>
  <si>
    <t>Do staff make decisions with the customer or beneficiary outcome in mind?</t>
  </si>
  <si>
    <t>Customer outcomes feature in everyday decision making and in measures.</t>
  </si>
  <si>
    <t>Interviews; CX metrics; decision examples</t>
  </si>
  <si>
    <t>Frontline staff; Managers</t>
  </si>
  <si>
    <t>D09.07</t>
  </si>
  <si>
    <t>Psychological safety</t>
  </si>
  <si>
    <t>Do staff feel safe to raise concerns, challenge ideas and report issues?</t>
  </si>
  <si>
    <t>High psychological safety scores; effective speak-up and whistleblower mechanisms.</t>
  </si>
  <si>
    <t>Engagement survey; whistleblower reports</t>
  </si>
  <si>
    <t>CHRO; Staff; Risk</t>
  </si>
  <si>
    <t>D09.08</t>
  </si>
  <si>
    <t>Risk culture</t>
  </si>
  <si>
    <t>Is there a healthy risk culture in which risks are identified, escalated and managed openly?</t>
  </si>
  <si>
    <t>Risk culture assessed; risks and incidents reported promptly; lessons learned applied.</t>
  </si>
  <si>
    <t>Risk culture survey; incident reporting trends</t>
  </si>
  <si>
    <t>CRO; Managers</t>
  </si>
  <si>
    <t>D09.09</t>
  </si>
  <si>
    <t>Change readiness</t>
  </si>
  <si>
    <t>How ready and able is the organisation to adopt change?</t>
  </si>
  <si>
    <t>Change fatigue understood, change capacity managed and a history of successful adoption.</t>
  </si>
  <si>
    <t>Change readiness assessments; post-implementation reviews</t>
  </si>
  <si>
    <t>Change lead; Managers</t>
  </si>
  <si>
    <t>D10  Performance Management &amp; Planning</t>
  </si>
  <si>
    <t>D10.01</t>
  </si>
  <si>
    <t>Planning cycle</t>
  </si>
  <si>
    <t>Is there an integrated planning cycle linking strategic, business, workforce and financial planning?</t>
  </si>
  <si>
    <t>Annual integrated planning calendar with clear inputs, outputs and decision points.</t>
  </si>
  <si>
    <t>Planning calendar; business plans; budget process</t>
  </si>
  <si>
    <t>CFO; Strategy; PMO</t>
  </si>
  <si>
    <t>D10.02</t>
  </si>
  <si>
    <t>KPI framework</t>
  </si>
  <si>
    <t>Is there a balanced set of KPIs (financial, customer, process, people, risk) aligned to the strategy?</t>
  </si>
  <si>
    <t>Balanced scorecard or equivalent with defined measures, targets, owners and data sources.</t>
  </si>
  <si>
    <t>KPI framework; scorecards; metric definitions</t>
  </si>
  <si>
    <t>Executive team; Performance team</t>
  </si>
  <si>
    <t>D10.03</t>
  </si>
  <si>
    <t>Cascade &amp; line of sight</t>
  </si>
  <si>
    <t>Do KPIs and objectives cascade from enterprise to business unit, team and individual levels?</t>
  </si>
  <si>
    <t>Clear line of sight from enterprise goals to team and individual objectives (e.g. OKRs).</t>
  </si>
  <si>
    <t>Cascaded scorecards; OKRs; performance agreements</t>
  </si>
  <si>
    <t>Managers; CHRO</t>
  </si>
  <si>
    <t>D10.04</t>
  </si>
  <si>
    <t>Management reporting</t>
  </si>
  <si>
    <t>Is management reporting timely, accurate, insightful and trusted?</t>
  </si>
  <si>
    <t>Automated, single-source reporting focused on insight and exceptions, with little manual effort.</t>
  </si>
  <si>
    <t>Management reports; report inventory; production effort</t>
  </si>
  <si>
    <t>CFO; Data &amp; Analytics</t>
  </si>
  <si>
    <t>D10.05</t>
  </si>
  <si>
    <t>Performance forums</t>
  </si>
  <si>
    <t>Are there regular forums where performance is reviewed and actions agreed?</t>
  </si>
  <si>
    <t>A rhythm of performance reviews at each level, with actions tracked to closure.</t>
  </si>
  <si>
    <t>Performance review agendas; action logs</t>
  </si>
  <si>
    <t>D10.06</t>
  </si>
  <si>
    <t>Target setting</t>
  </si>
  <si>
    <t>Are targets stretching yet achievable, and based on evidence and benchmarks?</t>
  </si>
  <si>
    <t>Targets informed by baselines, benchmarks and capacity, and reviewed as conditions change.</t>
  </si>
  <si>
    <t>Target-setting methodology; benchmarks</t>
  </si>
  <si>
    <t>CFO; Performance team</t>
  </si>
  <si>
    <t>D10.07</t>
  </si>
  <si>
    <t>Incentive alignment</t>
  </si>
  <si>
    <t>Are performance measures aligned with incentives and consequences?</t>
  </si>
  <si>
    <t>Incentives reward balanced performance, including risk and behaviours, not just financial outcomes.</t>
  </si>
  <si>
    <t>Incentive plans; scorecards</t>
  </si>
  <si>
    <t>D10.08</t>
  </si>
  <si>
    <t>Performance data</t>
  </si>
  <si>
    <t>Is performance data reliable, with clear definitions and data ownership?</t>
  </si>
  <si>
    <t>KPI definitions documented, data lineage understood and data quality monitored.</t>
  </si>
  <si>
    <t>Metric dictionary; data quality reports</t>
  </si>
  <si>
    <t>Data &amp; Analytics; Performance team</t>
  </si>
  <si>
    <t>D10.09</t>
  </si>
  <si>
    <t>External reporting</t>
  </si>
  <si>
    <t>Are external and regulatory performance reporting obligations met efficiently?</t>
  </si>
  <si>
    <t>External reporting automated where possible, reconciled to internal reporting and delivered on time.</t>
  </si>
  <si>
    <t>Annual report; regulatory returns; reporting calendar</t>
  </si>
  <si>
    <t>CFO; Company Secretary; Compliance</t>
  </si>
  <si>
    <t>D11  Technology &amp; Applications</t>
  </si>
  <si>
    <t>D11.01</t>
  </si>
  <si>
    <t>Technology strategy</t>
  </si>
  <si>
    <t>Is there a technology strategy aligned to the business strategy and target operating model?</t>
  </si>
  <si>
    <t>Current technology strategy with roadmap, principles and funding, endorsed by the executive.</t>
  </si>
  <si>
    <t>Technology strategy; IT roadmap</t>
  </si>
  <si>
    <t>CIO; Executive team</t>
  </si>
  <si>
    <t>D11.02</t>
  </si>
  <si>
    <t>Is there an enterprise architecture function with current and target state architectures and standards?</t>
  </si>
  <si>
    <t>EA practice (e.g. TOGAF-based) with architecture governance, standards and reference architectures.</t>
  </si>
  <si>
    <t>Architecture repository; standards; architecture review board minutes</t>
  </si>
  <si>
    <t>Enterprise architect; CIO</t>
  </si>
  <si>
    <t>D11.03</t>
  </si>
  <si>
    <t>Application portfolio</t>
  </si>
  <si>
    <t>Is the application portfolio documented with ownership, cost, business fit and technical health?</t>
  </si>
  <si>
    <t>Complete application inventory with a TIME assessment (Tolerate, Invest, Migrate, Eliminate) and rationalisation plan.</t>
  </si>
  <si>
    <t>Application inventory; CMDB extract; licence data</t>
  </si>
  <si>
    <t>CIO; Application owners</t>
  </si>
  <si>
    <t>D11.04</t>
  </si>
  <si>
    <t>Technical debt</t>
  </si>
  <si>
    <t>Is technical debt (legacy, unsupported or end-of-life systems) known and managed?</t>
  </si>
  <si>
    <t>Technical debt quantified and prioritised; remediation funded in the roadmap.</t>
  </si>
  <si>
    <t>End-of-life / end-of-support register; technical debt register</t>
  </si>
  <si>
    <t>CIO; Architecture</t>
  </si>
  <si>
    <t>D11.05</t>
  </si>
  <si>
    <t>Infrastructure &amp; cloud</t>
  </si>
  <si>
    <t>Is the hosting model (on-premises, cloud, hybrid) fit for purpose, secure and cost-effective?</t>
  </si>
  <si>
    <t>Deliberate hosting strategy; cloud costs managed through FinOps; resilience tested.</t>
  </si>
  <si>
    <t>Infrastructure architecture; cloud strategy; cloud cost reports</t>
  </si>
  <si>
    <t>CIO; Infrastructure lead</t>
  </si>
  <si>
    <t>D11.06</t>
  </si>
  <si>
    <t>Integration</t>
  </si>
  <si>
    <t>Are systems integrated effectively, minimising manual re-keying and point-to-point interfaces?</t>
  </si>
  <si>
    <t>Integration platform or API strategy with reusable services and little manual re-keying.</t>
  </si>
  <si>
    <t>Integration architecture; interface catalogue</t>
  </si>
  <si>
    <t>Architecture; IT</t>
  </si>
  <si>
    <t>D11.07</t>
  </si>
  <si>
    <t>IT operating model</t>
  </si>
  <si>
    <t>Is the IT operating model (plan-build-run, product teams, sourcing) clear and effective?</t>
  </si>
  <si>
    <t>Defined IT operating model with clear roles, sourcing and a business engagement model.</t>
  </si>
  <si>
    <t>IT organisation chart; IT operating model; IT service catalogue</t>
  </si>
  <si>
    <t>CIO; IT leadership</t>
  </si>
  <si>
    <t>D11.08</t>
  </si>
  <si>
    <t>IT service management</t>
  </si>
  <si>
    <t>Are IT services managed to agreed levels using recognised practices (e.g. ITIL 4)?</t>
  </si>
  <si>
    <t>Service catalogue, SLAs, incident, problem and change management, and service performance reporting.</t>
  </si>
  <si>
    <t>ITSM reports; SLAs; major incident reviews</t>
  </si>
  <si>
    <t>D11.09</t>
  </si>
  <si>
    <t>Digital, automation &amp; AI</t>
  </si>
  <si>
    <t>Is the organisation using digital, automation and AI capabilities to improve services and efficiency, with appropriate governance?</t>
  </si>
  <si>
    <t>AI and automation strategy with a use-case pipeline, responsible AI governance and measured benefits.</t>
  </si>
  <si>
    <t>AI strategy; AI use-case register; AI policy</t>
  </si>
  <si>
    <t>CIO; Digital lead; Risk</t>
  </si>
  <si>
    <t>D11.10</t>
  </si>
  <si>
    <t>Technology investment</t>
  </si>
  <si>
    <t>Is technology spend visible, benchmarked and aligned to business value?</t>
  </si>
  <si>
    <t>IT spend understood by run / grow / transform and by capability; business cases track benefits.</t>
  </si>
  <si>
    <t>IT budget; IT cost model; benchmarks</t>
  </si>
  <si>
    <t>CIO; CFO</t>
  </si>
  <si>
    <t>D11.11</t>
  </si>
  <si>
    <t>End-user technology</t>
  </si>
  <si>
    <t>Do staff have the tools and devices they need to work effectively, including in hybrid settings?</t>
  </si>
  <si>
    <t>Modern collaboration tools, high user satisfaction and secure access from any location.</t>
  </si>
  <si>
    <t>User satisfaction survey; device and tool inventory</t>
  </si>
  <si>
    <t>IT; Staff</t>
  </si>
  <si>
    <t>D12  Data, Information &amp; Analytics</t>
  </si>
  <si>
    <t>D12.01</t>
  </si>
  <si>
    <t>Data strategy</t>
  </si>
  <si>
    <t>Is there a data strategy that treats data as an asset and supports business priorities?</t>
  </si>
  <si>
    <t>Endorsed data strategy with roadmap, funding and executive sponsorship.</t>
  </si>
  <si>
    <t>Chief Data Officer / data lead; CIO</t>
  </si>
  <si>
    <t>D12.02</t>
  </si>
  <si>
    <t>Data governance</t>
  </si>
  <si>
    <t>Is there a data governance framework with defined owners, stewards and decision forums?</t>
  </si>
  <si>
    <t>Data owners and stewards named for key domains; a data governance council operating.</t>
  </si>
  <si>
    <t>Data governance framework; data owner register</t>
  </si>
  <si>
    <t>Chief Data Officer; Data stewards</t>
  </si>
  <si>
    <t>D12.03</t>
  </si>
  <si>
    <t>Data quality</t>
  </si>
  <si>
    <t>Is data quality measured and managed for critical data elements?</t>
  </si>
  <si>
    <t>Critical data elements identified; quality dimensions measured; issues remediated at source.</t>
  </si>
  <si>
    <t>Data quality reports; data issue logs</t>
  </si>
  <si>
    <t>Data stewards; Operations</t>
  </si>
  <si>
    <t>D12.04</t>
  </si>
  <si>
    <t>Master &amp; reference data</t>
  </si>
  <si>
    <t>Is master data (customer, product, supplier, employee) managed as a single source of truth?</t>
  </si>
  <si>
    <t>Master data management approach in place, with minimal duplication and defined authoritative sources.</t>
  </si>
  <si>
    <t>MDM architecture; data lineage</t>
  </si>
  <si>
    <t>Architecture; Data team</t>
  </si>
  <si>
    <t>D12.05</t>
  </si>
  <si>
    <t>Analytics &amp; insight</t>
  </si>
  <si>
    <t>Does the organisation have the analytics capability to generate insight for decisions?</t>
  </si>
  <si>
    <t>Self-service BI, advanced analytics capability and a data-driven decision culture.</t>
  </si>
  <si>
    <t>BI platform inventory; analytics use cases</t>
  </si>
  <si>
    <t>Data &amp; Analytics lead; Business users</t>
  </si>
  <si>
    <t>D12.06</t>
  </si>
  <si>
    <t>Records management</t>
  </si>
  <si>
    <t>Are information and records managed in line with legislative and business requirements?</t>
  </si>
  <si>
    <t>Records management policy, classification and retention and disposal schedules applied.</t>
  </si>
  <si>
    <t>Records management policy; retention schedules</t>
  </si>
  <si>
    <t>Records manager; Legal</t>
  </si>
  <si>
    <t>D12.07</t>
  </si>
  <si>
    <t>Privacy</t>
  </si>
  <si>
    <t>Is personal information handled in line with privacy obligations (e.g. Privacy Act 1988 and the APPs)?</t>
  </si>
  <si>
    <t>Privacy management plan, privacy impact assessments and a tested data breach response plan.</t>
  </si>
  <si>
    <t>Privacy policy; PIAs; data breach response plan</t>
  </si>
  <si>
    <t>Privacy officer; Legal</t>
  </si>
  <si>
    <t>D12.08</t>
  </si>
  <si>
    <t>Classification &amp; protection</t>
  </si>
  <si>
    <t>Is data classified and protected according to its sensitivity?</t>
  </si>
  <si>
    <t>Classification scheme applied, controls proportionate to classification, access reviewed regularly.</t>
  </si>
  <si>
    <t>Classification policy; access reviews</t>
  </si>
  <si>
    <t>CISO; Data owners</t>
  </si>
  <si>
    <t>D12.09</t>
  </si>
  <si>
    <t>AI &amp; data readiness</t>
  </si>
  <si>
    <t>Is data of sufficient quality, accessibility and governance to support AI and advanced analytics?</t>
  </si>
  <si>
    <t>Data platforms, lineage and governance ready for AI use cases, with responsible AI controls in place.</t>
  </si>
  <si>
    <t>Data platform architecture; AI readiness assessment</t>
  </si>
  <si>
    <t>Chief Data Officer; CIO</t>
  </si>
  <si>
    <t>D13  Suppliers, Partners &amp; Sourcing</t>
  </si>
  <si>
    <t>D13.01</t>
  </si>
  <si>
    <t>Sourcing strategy</t>
  </si>
  <si>
    <t>Is there a sourcing strategy defining what is performed in-house, outsourced or delivered through partners?</t>
  </si>
  <si>
    <t>Sourcing decisions based on differentiation, capability, cost and risk, and reviewed periodically.</t>
  </si>
  <si>
    <t>Sourcing strategy; make-vs-buy analyses</t>
  </si>
  <si>
    <t>D13.02</t>
  </si>
  <si>
    <t>Supplier register</t>
  </si>
  <si>
    <t>Is there a complete register of suppliers with spend, services, criticality and contract details?</t>
  </si>
  <si>
    <t>Single supplier register with segmentation (e.g. strategic, leverage, bottleneck, non-critical).</t>
  </si>
  <si>
    <t>Supplier register; spend analysis</t>
  </si>
  <si>
    <t>Procurement; Finance</t>
  </si>
  <si>
    <t>D13.03</t>
  </si>
  <si>
    <t>Contract management</t>
  </si>
  <si>
    <t>Are contracts actively managed, with clear obligations, performance measures and renewal dates?</t>
  </si>
  <si>
    <t>Contract management system; obligations tracked; renewals planned well in advance.</t>
  </si>
  <si>
    <t>Contract register; contract management plans</t>
  </si>
  <si>
    <t>Procurement; Contract managers</t>
  </si>
  <si>
    <t>D13.04</t>
  </si>
  <si>
    <t>Supplier performance</t>
  </si>
  <si>
    <t>Is supplier performance measured and managed through regular reviews?</t>
  </si>
  <si>
    <t>Supplier scorecards and performance reviews for strategic and critical suppliers.</t>
  </si>
  <si>
    <t>Supplier scorecards; review minutes</t>
  </si>
  <si>
    <t>D13.05</t>
  </si>
  <si>
    <t>Concentration &amp; dependency</t>
  </si>
  <si>
    <t>Are dependencies on critical or single-source suppliers (including fourth parties) understood and mitigated?</t>
  </si>
  <si>
    <t>Material service providers identified; exit and contingency plans in place and tested.</t>
  </si>
  <si>
    <t>Third-party risk assessments; exit plans</t>
  </si>
  <si>
    <t>CRO; Procurement</t>
  </si>
  <si>
    <t>D13.06</t>
  </si>
  <si>
    <t>Procurement process</t>
  </si>
  <si>
    <t>Is the procurement process efficient, compliant and value-driven?</t>
  </si>
  <si>
    <t>Procurement policy aligned to applicable rules (e.g. Commonwealth Procurement Rules); reasonable cycle times.</t>
  </si>
  <si>
    <t>Procurement policy; procurement metrics</t>
  </si>
  <si>
    <t>Procurement lead; CFO</t>
  </si>
  <si>
    <t>D13.07</t>
  </si>
  <si>
    <t>Partnerships &amp; ecosystem</t>
  </si>
  <si>
    <t>Are partnerships and ecosystem relationships used effectively to deliver the value proposition?</t>
  </si>
  <si>
    <t>Strategic partnerships with shared objectives, governance and measured value.</t>
  </si>
  <si>
    <t>Partnership agreements</t>
  </si>
  <si>
    <t>Executive team; Partnership leads</t>
  </si>
  <si>
    <t>D13.08</t>
  </si>
  <si>
    <t>Third-party security &amp; privacy</t>
  </si>
  <si>
    <t>Are third-party security, privacy and compliance risks assessed before and during engagement?</t>
  </si>
  <si>
    <t>Due diligence and ongoing monitoring of third-party controls (e.g. ISO/IEC 27001 certification, SOC 2 reports).</t>
  </si>
  <si>
    <t>Third-party risk assessments; security questionnaires</t>
  </si>
  <si>
    <t>CISO; Procurement</t>
  </si>
  <si>
    <t>D14  Locations &amp; Physical Assets</t>
  </si>
  <si>
    <t>D14.01</t>
  </si>
  <si>
    <t>Location footprint</t>
  </si>
  <si>
    <t>Is the location footprint (offices, sites, service centres) aligned to customers, talent and cost?</t>
  </si>
  <si>
    <t>Footprint strategy based on customer proximity, talent pools and cost, with a documented rationale.</t>
  </si>
  <si>
    <t>Site list; property strategy</t>
  </si>
  <si>
    <t>COO; Property</t>
  </si>
  <si>
    <t>D14.02</t>
  </si>
  <si>
    <t>Workplace model</t>
  </si>
  <si>
    <t>Is there a deliberate workplace model (e.g. hybrid, activity-based working) supported by policy and technology?</t>
  </si>
  <si>
    <t>Workplace model defined, utilisation measured, and policy and tools support it.</t>
  </si>
  <si>
    <t>Hybrid work policy; utilisation data</t>
  </si>
  <si>
    <t>CHRO; Property; IT</t>
  </si>
  <si>
    <t>D14.03</t>
  </si>
  <si>
    <t>Space utilisation</t>
  </si>
  <si>
    <t>Is space utilisation measured and optimised?</t>
  </si>
  <si>
    <t>Utilisation tracked; surplus space consolidated or sub-let.</t>
  </si>
  <si>
    <t>Utilisation reports; lease schedule</t>
  </si>
  <si>
    <t>Property; CFO</t>
  </si>
  <si>
    <t>D14.04</t>
  </si>
  <si>
    <t>Property costs &amp; leases</t>
  </si>
  <si>
    <t>Are property costs and lease commitments understood and managed in line with strategy?</t>
  </si>
  <si>
    <t>Lease expiries aligned to the footprint strategy; property cost per FTE benchmarked.</t>
  </si>
  <si>
    <t>Lease register; property costs</t>
  </si>
  <si>
    <t>D14.05</t>
  </si>
  <si>
    <t>Site resilience</t>
  </si>
  <si>
    <t>Are critical sites resilient, with business continuity arrangements for site loss?</t>
  </si>
  <si>
    <t>Alternate sites or work-from-anywhere arrangements tested; critical infrastructure protected.</t>
  </si>
  <si>
    <t>Business continuity plans; site risk assessments</t>
  </si>
  <si>
    <t>BCM lead; Property</t>
  </si>
  <si>
    <t>D14.06</t>
  </si>
  <si>
    <t>Physical assets</t>
  </si>
  <si>
    <t>Are physical assets (equipment, fleet, infrastructure) managed across their lifecycle?</t>
  </si>
  <si>
    <t>Asset register and lifecycle management consistent with ISO 55001 principles.</t>
  </si>
  <si>
    <t>Asset register; maintenance plans</t>
  </si>
  <si>
    <t>Asset manager; CFO</t>
  </si>
  <si>
    <t>D14.07</t>
  </si>
  <si>
    <t>Physical security</t>
  </si>
  <si>
    <t>Are physical security controls appropriate to the sensitivity of people, information and assets on each site?</t>
  </si>
  <si>
    <t>Physical security risk assessed per site; access control and monitoring proportionate to risk.</t>
  </si>
  <si>
    <t>Security assessments; access control reports</t>
  </si>
  <si>
    <t>Security manager</t>
  </si>
  <si>
    <t>D14.08</t>
  </si>
  <si>
    <t>Environmental footprint</t>
  </si>
  <si>
    <t>Is the environmental impact of locations and assets measured and managed?</t>
  </si>
  <si>
    <t>Scope 1 and 2 emissions measured; energy efficiency targets in place.</t>
  </si>
  <si>
    <t>Emissions reports; energy data</t>
  </si>
  <si>
    <t>Sustainability lead; Property</t>
  </si>
  <si>
    <t>D15  Risk, Compliance, Security &amp; Resilience</t>
  </si>
  <si>
    <t>D15.01</t>
  </si>
  <si>
    <t>Risk management framework</t>
  </si>
  <si>
    <t>Is there an enterprise risk management framework aligned to a recognised standard (e.g. ISO 31000)?</t>
  </si>
  <si>
    <t>ERM framework in operation, with risk appetite, taxonomy, assessment methodology and reporting.</t>
  </si>
  <si>
    <t>Risk management framework; risk appetite statement</t>
  </si>
  <si>
    <t>CRO; Board Risk Committee</t>
  </si>
  <si>
    <t>D15.02</t>
  </si>
  <si>
    <t>Risk appetite</t>
  </si>
  <si>
    <t>Is risk appetite defined, measurable and used in decision making?</t>
  </si>
  <si>
    <t>Board-approved appetite with metrics and tolerances that are monitored, with breaches escalated.</t>
  </si>
  <si>
    <t>Risk appetite statement; risk reports</t>
  </si>
  <si>
    <t>Board; CRO</t>
  </si>
  <si>
    <t>D15.03</t>
  </si>
  <si>
    <t>Risk registers</t>
  </si>
  <si>
    <t>Are strategic, operational and project risks identified, assessed and actively managed?</t>
  </si>
  <si>
    <t>Current risk registers with owners, controls, treatment plans and regular review.</t>
  </si>
  <si>
    <t>Enterprise and business unit risk registers</t>
  </si>
  <si>
    <t>CRO; Risk owners</t>
  </si>
  <si>
    <t>D15.04</t>
  </si>
  <si>
    <t>Obligations register</t>
  </si>
  <si>
    <t>Is there a complete register of legal, regulatory and contractual obligations mapped to owners and controls?</t>
  </si>
  <si>
    <t>Obligations register maintained, with regulatory change monitoring (e.g. aligned to ISO 37301).</t>
  </si>
  <si>
    <t>Obligations register; regulatory change log</t>
  </si>
  <si>
    <t>Compliance lead; Legal</t>
  </si>
  <si>
    <t>D15.05</t>
  </si>
  <si>
    <t>Compliance management</t>
  </si>
  <si>
    <t>Is compliance monitored, tested and reported, with breaches managed and remediated?</t>
  </si>
  <si>
    <t>Compliance monitoring plan, breach register and timely regulator notification where required.</t>
  </si>
  <si>
    <t>Compliance plan; breach register; regulator correspondence</t>
  </si>
  <si>
    <t>Compliance lead</t>
  </si>
  <si>
    <t>D15.06</t>
  </si>
  <si>
    <t>Control environment</t>
  </si>
  <si>
    <t>Are key controls documented, owned and tested for design and operating effectiveness?</t>
  </si>
  <si>
    <t>Control library mapped to risks; testing results reported; issues tracked to closure.</t>
  </si>
  <si>
    <t>Control library; control testing results; RCSA</t>
  </si>
  <si>
    <t>Risk; Process owners</t>
  </si>
  <si>
    <t>D15.07</t>
  </si>
  <si>
    <t>Cyber security</t>
  </si>
  <si>
    <t>Is cyber security maturity appropriate for the threat environment (e.g. Essential Eight, ISO/IEC 27001, NIST CSF)?</t>
  </si>
  <si>
    <t>Target maturity defined and achieved (e.g. Essential Eight Maturity Level 2 or higher); ISMS operating; incidents managed.</t>
  </si>
  <si>
    <t>ISMS documentation; Essential Eight assessment; penetration test reports</t>
  </si>
  <si>
    <t>CISO; CIO</t>
  </si>
  <si>
    <t>D15.08</t>
  </si>
  <si>
    <t>Business continuity &amp; resilience</t>
  </si>
  <si>
    <t>Can the organisation continue critical operations through disruption (e.g. ISO 22301; APRA CPS 230 where applicable)?</t>
  </si>
  <si>
    <t>Critical operations and tolerance levels defined; BCPs and disaster recovery tested; scenario exercises run.</t>
  </si>
  <si>
    <t>BCPs; business impact analysis; DR test results; CPS 230 artefacts</t>
  </si>
  <si>
    <t>BCM lead; CIO; CRO</t>
  </si>
  <si>
    <t>D15.09</t>
  </si>
  <si>
    <t>Incident management</t>
  </si>
  <si>
    <t>Are operational incidents and near misses captured, investigated and learned from?</t>
  </si>
  <si>
    <t>Incident management process with root-cause analysis and trend reporting.</t>
  </si>
  <si>
    <t>Incident register; post-incident reviews</t>
  </si>
  <si>
    <t>Risk; Operations</t>
  </si>
  <si>
    <t>D15.10</t>
  </si>
  <si>
    <t>Internal audit &amp; assurance</t>
  </si>
  <si>
    <t>Is independent assurance risk-based, and are audit findings remediated on time?</t>
  </si>
  <si>
    <t>Risk-based internal audit plan; overdue actions tracked and reported to the Audit Committee.</t>
  </si>
  <si>
    <t>Internal audit plan; audit reports; action tracker</t>
  </si>
  <si>
    <t>Head of Internal Audit; Audit Committee</t>
  </si>
  <si>
    <t>D15.11</t>
  </si>
  <si>
    <t>Fraud &amp; integrity</t>
  </si>
  <si>
    <t>Are fraud, corruption and integrity risks managed?</t>
  </si>
  <si>
    <t>Fraud control plan, integrity framework and a whistleblower program in place and tested.</t>
  </si>
  <si>
    <t>Fraud control plan; whistleblower policy</t>
  </si>
  <si>
    <t>CRO; Legal</t>
  </si>
  <si>
    <t>D15.12</t>
  </si>
  <si>
    <t>ESG &amp; climate risk</t>
  </si>
  <si>
    <t>Are climate-related and other ESG risks identified, managed and disclosed as required (e.g. AASB S2)?</t>
  </si>
  <si>
    <t>Climate risks integrated into ERM; disclosure obligations mapped and met.</t>
  </si>
  <si>
    <t>Climate risk assessment; sustainability report</t>
  </si>
  <si>
    <t>CFO; CRO; Sustainability lead</t>
  </si>
  <si>
    <t>D16  Finance, Funding &amp; Cost Model</t>
  </si>
  <si>
    <t>D16.01</t>
  </si>
  <si>
    <t>Cost baseline</t>
  </si>
  <si>
    <t>Is the cost base understood by business unit, capability, process and cost type?</t>
  </si>
  <si>
    <t>Cost baseline available at multiple cuts and reconciled to the financial statements.</t>
  </si>
  <si>
    <t>General ledger extract; cost centre reports</t>
  </si>
  <si>
    <t>CFO; Finance business partners</t>
  </si>
  <si>
    <t>D16.02</t>
  </si>
  <si>
    <t>Cost-to-serve</t>
  </si>
  <si>
    <t>Is the cost to serve customers, products and channels known?</t>
  </si>
  <si>
    <t>Activity- or driver-based costing informs pricing, channel and service decisions.</t>
  </si>
  <si>
    <t>Cost-to-serve analysis; activity-based costing</t>
  </si>
  <si>
    <t>D16.03</t>
  </si>
  <si>
    <t>Cost structure</t>
  </si>
  <si>
    <t>Is the cost structure (fixed vs variable; people vs non-people) appropriate and benchmarked?</t>
  </si>
  <si>
    <t>Cost structure benchmarked against peers, with flexibility to scale costs with demand.</t>
  </si>
  <si>
    <t>Cost structure analysis; benchmarks</t>
  </si>
  <si>
    <t>CFO</t>
  </si>
  <si>
    <t>D16.04</t>
  </si>
  <si>
    <t>Budgeting &amp; forecasting</t>
  </si>
  <si>
    <t>Is budgeting and forecasting timely, accurate and linked to strategy and performance?</t>
  </si>
  <si>
    <t>Driver-based budgets, rolling forecasts and variance analysis with commentary.</t>
  </si>
  <si>
    <t>Budget process; forecasts; variance reports</t>
  </si>
  <si>
    <t>CFO; FP&amp;A</t>
  </si>
  <si>
    <t>D16.05</t>
  </si>
  <si>
    <t>Funding model</t>
  </si>
  <si>
    <t>Is the funding model (e.g. project vs product funding, appropriation, fee-for-service) aligned to how value is delivered?</t>
  </si>
  <si>
    <t>Funding model supports the operating model (e.g. persistent funding for product teams).</t>
  </si>
  <si>
    <t>Funding policy; budget allocations</t>
  </si>
  <si>
    <t>CFO; PMO</t>
  </si>
  <si>
    <t>D16.06</t>
  </si>
  <si>
    <t>Cost allocation</t>
  </si>
  <si>
    <t>Are shared costs allocated or charged back in a transparent and fair way?</t>
  </si>
  <si>
    <t>Transparent allocation methodology, understood by business units and driving the desired behaviour.</t>
  </si>
  <si>
    <t>Allocation methodology; chargeback model</t>
  </si>
  <si>
    <t>CFO; Shared services leads</t>
  </si>
  <si>
    <t>D16.07</t>
  </si>
  <si>
    <t>Investment governance</t>
  </si>
  <si>
    <t>Are investments assessed using consistent business cases and benefits tracking?</t>
  </si>
  <si>
    <t>Standard business case template, investment committee and post-investment reviews.</t>
  </si>
  <si>
    <t>Business case template; investment committee papers</t>
  </si>
  <si>
    <t>D16.08</t>
  </si>
  <si>
    <t>Financial controls</t>
  </si>
  <si>
    <t>Are financial controls, delegations and reporting robust?</t>
  </si>
  <si>
    <t>Strong control environment, clean audit opinions and a timely month-end close.</t>
  </si>
  <si>
    <t>External audit reports; management letters; month-end timetable</t>
  </si>
  <si>
    <t>CFO; External auditor</t>
  </si>
  <si>
    <t>D16.09</t>
  </si>
  <si>
    <t>Value for money</t>
  </si>
  <si>
    <t>Does the organisation regularly assess efficiency and value for money?</t>
  </si>
  <si>
    <t>Efficiency reviews, benchmarking and savings targets tracked; productivity trends monitored.</t>
  </si>
  <si>
    <t>Efficiency reviews; benchmarking studies</t>
  </si>
  <si>
    <t>CFO; COO</t>
  </si>
  <si>
    <t>D17  Change, Transformation &amp; Continuous Improvement</t>
  </si>
  <si>
    <t>D17.01</t>
  </si>
  <si>
    <t>Portfolio management</t>
  </si>
  <si>
    <t>Is there a portfolio management function that prioritises, funds and oversees change initiatives?</t>
  </si>
  <si>
    <t>Single portfolio view with prioritisation criteria linked to strategy and regular portfolio reviews.</t>
  </si>
  <si>
    <t>Portfolio register; prioritisation framework; portfolio reports</t>
  </si>
  <si>
    <t>PMO / EPMO; Executive team</t>
  </si>
  <si>
    <t>D17.02</t>
  </si>
  <si>
    <t>Delivery methodology</t>
  </si>
  <si>
    <t>Are delivery methods (agile, waterfall, hybrid) appropriate and consistently applied?</t>
  </si>
  <si>
    <t>Tailored delivery frameworks (e.g. PRINCE2, Agile / SAFe) with clear governance and stage gates.</t>
  </si>
  <si>
    <t>Delivery framework; project governance; project status reports</t>
  </si>
  <si>
    <t>PMO; Delivery leads</t>
  </si>
  <si>
    <t>D17.03</t>
  </si>
  <si>
    <t>Delivery performance</t>
  </si>
  <si>
    <t>Are initiatives delivered on time and on budget, and do they achieve the expected outcomes?</t>
  </si>
  <si>
    <t>A high proportion of initiatives delivered within tolerance, with early escalation of issues.</t>
  </si>
  <si>
    <t>Portfolio performance data; post-implementation reviews</t>
  </si>
  <si>
    <t>PMO; CFO</t>
  </si>
  <si>
    <t>D17.04</t>
  </si>
  <si>
    <t>Change capacity</t>
  </si>
  <si>
    <t>Is the volume of change managed against the organisation's capacity to absorb it?</t>
  </si>
  <si>
    <t>Change heat maps across business units; sequencing considers change saturation.</t>
  </si>
  <si>
    <t>Change heat maps; change calendar</t>
  </si>
  <si>
    <t>Change lead; Business unit heads</t>
  </si>
  <si>
    <t>D17.05</t>
  </si>
  <si>
    <t>Change management</t>
  </si>
  <si>
    <t>Is structured change management applied to drive adoption (e.g. Prosci ADKAR)?</t>
  </si>
  <si>
    <t>Change impact assessments, stakeholder engagement, training and adoption metrics used on all major initiatives.</t>
  </si>
  <si>
    <t>Change management framework; change impact assessments</t>
  </si>
  <si>
    <t>Change lead; Project managers</t>
  </si>
  <si>
    <t>D17.06</t>
  </si>
  <si>
    <t>Benefits realisation</t>
  </si>
  <si>
    <t>Are benefits defined, owned, tracked and realised after implementation?</t>
  </si>
  <si>
    <t>Benefits register with owners and baselines; benefits tracked beyond project close.</t>
  </si>
  <si>
    <t>Benefits register; benefits realisation reports</t>
  </si>
  <si>
    <t>PMO; CFO; Benefit owners</t>
  </si>
  <si>
    <t>D17.07</t>
  </si>
  <si>
    <t>Business analysis</t>
  </si>
  <si>
    <t>Is business analysis capability mature enough to define needs and solutions effectively (e.g. BABOK v3)?</t>
  </si>
  <si>
    <t>Consistent BA practice with standards, templates, traceability and skilled practitioners.</t>
  </si>
  <si>
    <t>BA framework; requirements artefacts; traceability matrices</t>
  </si>
  <si>
    <t>BA practice lead; Delivery leads</t>
  </si>
  <si>
    <t>D17.08</t>
  </si>
  <si>
    <t>Continuous improvement</t>
  </si>
  <si>
    <t>Is there an embedded continuous improvement culture and method (e.g. Lean, Six Sigma)?</t>
  </si>
  <si>
    <t>CI methods used by frontline teams; improvement ideas captured, prioritised and implemented.</t>
  </si>
  <si>
    <t>CI register; improvement metrics</t>
  </si>
  <si>
    <t>Operations managers; CI lead</t>
  </si>
  <si>
    <t>D17.09</t>
  </si>
  <si>
    <t>Innovation</t>
  </si>
  <si>
    <t>Does the organisation have mechanisms to identify, test and scale innovations?</t>
  </si>
  <si>
    <t>Innovation process with funding, experimentation and scaling pathways.</t>
  </si>
  <si>
    <t>Innovation framework; pilot results</t>
  </si>
  <si>
    <t>Strategy; Digital lead</t>
  </si>
  <si>
    <t>D17.10</t>
  </si>
  <si>
    <t>Lessons learned</t>
  </si>
  <si>
    <t>Are lessons learned captured and applied to future initiatives?</t>
  </si>
  <si>
    <t>Lessons-learned repository used in planning; recurring issues decrease over time.</t>
  </si>
  <si>
    <t>Lessons-learned register; PIR reports</t>
  </si>
  <si>
    <t>Business Capability Assessment</t>
  </si>
  <si>
    <t>Generic Level 1 / Level 2 capability model — rename, add or remove capabilities to reflect the client. Priority score = importance weight (High 3, Medium 2, Low 1) × maturity shortfall.</t>
  </si>
  <si>
    <t>Tier</t>
  </si>
  <si>
    <t>Level 1 capability</t>
  </si>
  <si>
    <t>Level 2 capability</t>
  </si>
  <si>
    <t>Description</t>
  </si>
  <si>
    <t>Differentiation</t>
  </si>
  <si>
    <t>Current maturity (1–5)</t>
  </si>
  <si>
    <t>Priority score</t>
  </si>
  <si>
    <t>Capability owner</t>
  </si>
  <si>
    <t>Key supporting systems</t>
  </si>
  <si>
    <t>Sourcing model</t>
  </si>
  <si>
    <t>Observations</t>
  </si>
  <si>
    <t>C01</t>
  </si>
  <si>
    <t>Strategic</t>
  </si>
  <si>
    <t>Strategy &amp; Planning</t>
  </si>
  <si>
    <t>Strategy development</t>
  </si>
  <si>
    <t>Set direction, strategic objectives and choices.</t>
  </si>
  <si>
    <t>C02</t>
  </si>
  <si>
    <t>Business planning</t>
  </si>
  <si>
    <t>Translate strategy into business unit plans and targets.</t>
  </si>
  <si>
    <t>C03</t>
  </si>
  <si>
    <t>Performance management</t>
  </si>
  <si>
    <t>Measure, report and steer performance against plans.</t>
  </si>
  <si>
    <t>C04</t>
  </si>
  <si>
    <t>Enterprise architecture &amp; design</t>
  </si>
  <si>
    <t>Design and govern the business and technology architecture.</t>
  </si>
  <si>
    <t>C05</t>
  </si>
  <si>
    <t>Governance &amp; Assurance</t>
  </si>
  <si>
    <t>Corporate governance</t>
  </si>
  <si>
    <t>Operate the board, committees and delegations.</t>
  </si>
  <si>
    <t>C06</t>
  </si>
  <si>
    <t>Enterprise risk management</t>
  </si>
  <si>
    <t>Identify, assess and treat risks within appetite.</t>
  </si>
  <si>
    <t>C07</t>
  </si>
  <si>
    <t>Identify obligations and monitor compliance.</t>
  </si>
  <si>
    <t>C08</t>
  </si>
  <si>
    <t>Provide independent assurance over controls.</t>
  </si>
  <si>
    <t>C09</t>
  </si>
  <si>
    <t>Portfolio &amp; Change</t>
  </si>
  <si>
    <t>Prioritise, fund and oversee the change portfolio.</t>
  </si>
  <si>
    <t>C10</t>
  </si>
  <si>
    <t>Program &amp; project delivery</t>
  </si>
  <si>
    <t>Deliver change initiatives to scope, time and budget.</t>
  </si>
  <si>
    <t>C11</t>
  </si>
  <si>
    <t>Business analysis &amp; design</t>
  </si>
  <si>
    <t>Define needs, requirements and solution designs.</t>
  </si>
  <si>
    <t>C12</t>
  </si>
  <si>
    <t>Drive adoption and embed change.</t>
  </si>
  <si>
    <t>C13</t>
  </si>
  <si>
    <t>Benefits management</t>
  </si>
  <si>
    <t>Define, track and realise benefits.</t>
  </si>
  <si>
    <t>C14</t>
  </si>
  <si>
    <t>Core</t>
  </si>
  <si>
    <t>Customer &amp; Stakeholder Management</t>
  </si>
  <si>
    <t>Customer insight &amp; research</t>
  </si>
  <si>
    <t>Understand customer needs, behaviours and outcomes.</t>
  </si>
  <si>
    <t>C15</t>
  </si>
  <si>
    <t>Marketing &amp; communications</t>
  </si>
  <si>
    <t>Promote services and communicate with stakeholders.</t>
  </si>
  <si>
    <t>C16</t>
  </si>
  <si>
    <t>Customer relationship management</t>
  </si>
  <si>
    <t>Manage customer relationships and interactions.</t>
  </si>
  <si>
    <t>C17</t>
  </si>
  <si>
    <t>Complaints &amp; feedback management</t>
  </si>
  <si>
    <t>Capture, resolve and learn from feedback and complaints.</t>
  </si>
  <si>
    <t>C18</t>
  </si>
  <si>
    <t>Product &amp; Service Management</t>
  </si>
  <si>
    <t>Product &amp; service design</t>
  </si>
  <si>
    <t>Design products and services that meet customer needs.</t>
  </si>
  <si>
    <t>C19</t>
  </si>
  <si>
    <t>Product lifecycle management</t>
  </si>
  <si>
    <t>Launch, manage, change and retire products and services.</t>
  </si>
  <si>
    <t>C20</t>
  </si>
  <si>
    <t>Pricing &amp; funding management</t>
  </si>
  <si>
    <t>Set prices, fees or funding for services.</t>
  </si>
  <si>
    <t>C21</t>
  </si>
  <si>
    <t>Channel &amp; Access Management</t>
  </si>
  <si>
    <t>Channel management</t>
  </si>
  <si>
    <t>Manage digital, phone, face-to-face and partner channels.</t>
  </si>
  <si>
    <t>C22</t>
  </si>
  <si>
    <t>Intake &amp; onboarding</t>
  </si>
  <si>
    <t>Receive requests, assess eligibility and onboard customers.</t>
  </si>
  <si>
    <t>C23</t>
  </si>
  <si>
    <t>Partner &amp; intermediary management</t>
  </si>
  <si>
    <t>Manage partners who deliver or distribute services.</t>
  </si>
  <si>
    <t>C24</t>
  </si>
  <si>
    <t>Service Delivery &amp; Operations</t>
  </si>
  <si>
    <t>Service fulfilment</t>
  </si>
  <si>
    <t>Deliver the core products and services.</t>
  </si>
  <si>
    <t>C25</t>
  </si>
  <si>
    <t>Case management</t>
  </si>
  <si>
    <t>Manage cases through to resolution.</t>
  </si>
  <si>
    <t>C26</t>
  </si>
  <si>
    <t>Scheduling &amp; resource allocation</t>
  </si>
  <si>
    <t>Match workforce and resources to demand.</t>
  </si>
  <si>
    <t>C27</t>
  </si>
  <si>
    <t>Quality management</t>
  </si>
  <si>
    <t>Assure and improve the quality of outputs.</t>
  </si>
  <si>
    <t>C28</t>
  </si>
  <si>
    <t>Customer support</t>
  </si>
  <si>
    <t>Resolve enquiries and issues across channels.</t>
  </si>
  <si>
    <t>C29</t>
  </si>
  <si>
    <t>Enabling</t>
  </si>
  <si>
    <t>Financial planning &amp; analysis</t>
  </si>
  <si>
    <t>Budget, forecast and analyse financial performance.</t>
  </si>
  <si>
    <t>C30</t>
  </si>
  <si>
    <t>Financial accounting &amp; reporting</t>
  </si>
  <si>
    <t>Record transactions and produce financial statements.</t>
  </si>
  <si>
    <t>C31</t>
  </si>
  <si>
    <t>Revenue &amp; receivables management</t>
  </si>
  <si>
    <t>Bill customers and collect payments.</t>
  </si>
  <si>
    <t>C32</t>
  </si>
  <si>
    <t>Payables &amp; payments</t>
  </si>
  <si>
    <t>Pay suppliers and manage expenses.</t>
  </si>
  <si>
    <t>C33</t>
  </si>
  <si>
    <t>Treasury &amp; cash management</t>
  </si>
  <si>
    <t>Manage liquidity, cash and funding.</t>
  </si>
  <si>
    <t>C34</t>
  </si>
  <si>
    <t>People</t>
  </si>
  <si>
    <t>Plan workforce size, mix and skills.</t>
  </si>
  <si>
    <t>C35</t>
  </si>
  <si>
    <t>Talent acquisition</t>
  </si>
  <si>
    <t>Attract, recruit and onboard staff.</t>
  </si>
  <si>
    <t>C36</t>
  </si>
  <si>
    <t>Learning &amp; development</t>
  </si>
  <si>
    <t>Build skills and capability.</t>
  </si>
  <si>
    <t>C37</t>
  </si>
  <si>
    <t>Performance &amp; reward</t>
  </si>
  <si>
    <t>Manage performance, remuneration and recognition.</t>
  </si>
  <si>
    <t>C38</t>
  </si>
  <si>
    <t>Employee relations &amp; WHS</t>
  </si>
  <si>
    <t>Manage employee relations, health, safety and wellbeing.</t>
  </si>
  <si>
    <t>C39</t>
  </si>
  <si>
    <t>Payroll &amp; HR administration</t>
  </si>
  <si>
    <t>Pay staff and maintain employee records.</t>
  </si>
  <si>
    <t>C40</t>
  </si>
  <si>
    <t>Technology</t>
  </si>
  <si>
    <t>Technology strategy &amp; architecture</t>
  </si>
  <si>
    <t>Set technology direction and standards.</t>
  </si>
  <si>
    <t>C41</t>
  </si>
  <si>
    <t>Application management</t>
  </si>
  <si>
    <t>Build, maintain and support applications.</t>
  </si>
  <si>
    <t>C42</t>
  </si>
  <si>
    <t>Infrastructure &amp; cloud operations</t>
  </si>
  <si>
    <t>Operate hosting, network and cloud platforms.</t>
  </si>
  <si>
    <t>C43</t>
  </si>
  <si>
    <t>Manage IT services, incidents and changes.</t>
  </si>
  <si>
    <t>C44</t>
  </si>
  <si>
    <t>Protect systems and information from cyber threats.</t>
  </si>
  <si>
    <t>C45</t>
  </si>
  <si>
    <t>Apply digital, automation and AI capabilities.</t>
  </si>
  <si>
    <t>C46</t>
  </si>
  <si>
    <t>Data &amp; Information</t>
  </si>
  <si>
    <t>Define data ownership, standards and policies.</t>
  </si>
  <si>
    <t>C47</t>
  </si>
  <si>
    <t>Data management &amp; integration</t>
  </si>
  <si>
    <t>Store, integrate and maintain data assets.</t>
  </si>
  <si>
    <t>C48</t>
  </si>
  <si>
    <t>Analytics &amp; reporting</t>
  </si>
  <si>
    <t>Turn data into insight and reports.</t>
  </si>
  <si>
    <t>C49</t>
  </si>
  <si>
    <t>Records &amp; information management</t>
  </si>
  <si>
    <t>Manage records across their lifecycle.</t>
  </si>
  <si>
    <t>C50</t>
  </si>
  <si>
    <t>Procurement &amp; Suppliers</t>
  </si>
  <si>
    <t>Sourcing &amp; procurement</t>
  </si>
  <si>
    <t>Source and procure goods and services.</t>
  </si>
  <si>
    <t>C51</t>
  </si>
  <si>
    <t>Manage contractual obligations and renewals.</t>
  </si>
  <si>
    <t>C52</t>
  </si>
  <si>
    <t>Supplier relationship management</t>
  </si>
  <si>
    <t>Manage supplier performance and relationships.</t>
  </si>
  <si>
    <t>C53</t>
  </si>
  <si>
    <t>Legal &amp; Corporate Services</t>
  </si>
  <si>
    <t>Legal services</t>
  </si>
  <si>
    <t>Provide legal advice and manage legal risk.</t>
  </si>
  <si>
    <t>C54</t>
  </si>
  <si>
    <t>Property &amp; facilities management</t>
  </si>
  <si>
    <t>Manage sites, workplaces and facilities.</t>
  </si>
  <si>
    <t>C55</t>
  </si>
  <si>
    <t>Asset management</t>
  </si>
  <si>
    <t>Manage physical assets across their lifecycle.</t>
  </si>
  <si>
    <t>C56</t>
  </si>
  <si>
    <t>Business continuity management</t>
  </si>
  <si>
    <t>Plan for and respond to disruption.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</si>
  <si>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</si>
  <si>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</si>
  <si>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</si>
  <si>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</si>
  <si>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</si>
  <si>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</si>
  <si>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</si>
  <si>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</si>
  <si>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</si>
  <si>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</si>
  <si>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</si>
  <si>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</si>
  <si>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</si>
  <si>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</si>
  <si>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</si>
  <si>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Value Stream &amp; Process Inventory</t>
  </si>
  <si>
    <t>Generic end-to-end value streams and Level 1 processes. Add Level 2 sub-processes as rows and record performance data where available.</t>
  </si>
  <si>
    <t>Value stream</t>
  </si>
  <si>
    <t>Level 1 process</t>
  </si>
  <si>
    <t>Level 2 process / sub-process</t>
  </si>
  <si>
    <t>Process owner</t>
  </si>
  <si>
    <t>Business units involved</t>
  </si>
  <si>
    <t>Documented?</t>
  </si>
  <si>
    <t>Standardised across units?</t>
  </si>
  <si>
    <t>Automation level</t>
  </si>
  <si>
    <t>Key systems</t>
  </si>
  <si>
    <t>Monthly volume</t>
  </si>
  <si>
    <t>Average cycle time (days)</t>
  </si>
  <si>
    <t>FTE effort</t>
  </si>
  <si>
    <t>FTE per 1,000 transactions</t>
  </si>
  <si>
    <t>Hand-offs (#)</t>
  </si>
  <si>
    <t>Pain points</t>
  </si>
  <si>
    <t>Maturity (1–5)</t>
  </si>
  <si>
    <t>Improvement opportunity</t>
  </si>
  <si>
    <t>P01</t>
  </si>
  <si>
    <t>Strategy-to-Execution</t>
  </si>
  <si>
    <t>Develop and refresh strategy</t>
  </si>
  <si>
    <t>P02</t>
  </si>
  <si>
    <t>Plan and budget</t>
  </si>
  <si>
    <t>P03</t>
  </si>
  <si>
    <t>Manage the change portfolio</t>
  </si>
  <si>
    <t>P04</t>
  </si>
  <si>
    <t>Monitor and report performance</t>
  </si>
  <si>
    <t>P05</t>
  </si>
  <si>
    <t>Market-to-Customer</t>
  </si>
  <si>
    <t>Understand customer needs</t>
  </si>
  <si>
    <t>P06</t>
  </si>
  <si>
    <t>Market and promote services</t>
  </si>
  <si>
    <t>P07</t>
  </si>
  <si>
    <t>Acquire and onboard customers</t>
  </si>
  <si>
    <t>P08</t>
  </si>
  <si>
    <t>Request-to-Fulfil</t>
  </si>
  <si>
    <t>Receive and triage requests</t>
  </si>
  <si>
    <t>P09</t>
  </si>
  <si>
    <t>Assess eligibility and requirements</t>
  </si>
  <si>
    <t>P10</t>
  </si>
  <si>
    <t>Deliver the product or service</t>
  </si>
  <si>
    <t>P11</t>
  </si>
  <si>
    <t>Confirm completion and close</t>
  </si>
  <si>
    <t>P12</t>
  </si>
  <si>
    <t>Issue-to-Resolution</t>
  </si>
  <si>
    <t>Receive enquiries and complaints</t>
  </si>
  <si>
    <t>P13</t>
  </si>
  <si>
    <t>Investigate and resolve</t>
  </si>
  <si>
    <t>P14</t>
  </si>
  <si>
    <t>Analyse root causes and remediate</t>
  </si>
  <si>
    <t>P15</t>
  </si>
  <si>
    <t>Order-to-Cash</t>
  </si>
  <si>
    <t>Invoice and bill</t>
  </si>
  <si>
    <t>P16</t>
  </si>
  <si>
    <t>Collect payments</t>
  </si>
  <si>
    <t>P17</t>
  </si>
  <si>
    <t>Manage debt</t>
  </si>
  <si>
    <t>P18</t>
  </si>
  <si>
    <t>Procure-to-Pay</t>
  </si>
  <si>
    <t>Identify need and source</t>
  </si>
  <si>
    <t>P19</t>
  </si>
  <si>
    <t>Contract with suppliers</t>
  </si>
  <si>
    <t>P20</t>
  </si>
  <si>
    <t>Receive goods and services</t>
  </si>
  <si>
    <t>P21</t>
  </si>
  <si>
    <t>Pay suppliers</t>
  </si>
  <si>
    <t>P22</t>
  </si>
  <si>
    <t>Hire-to-Retire</t>
  </si>
  <si>
    <t>Plan the workforce</t>
  </si>
  <si>
    <t>P23</t>
  </si>
  <si>
    <t>Recruit and onboard</t>
  </si>
  <si>
    <t>P24</t>
  </si>
  <si>
    <t>Develop and manage performance</t>
  </si>
  <si>
    <t>P25</t>
  </si>
  <si>
    <t>Pay and reward</t>
  </si>
  <si>
    <t>P26</t>
  </si>
  <si>
    <t>Offboard</t>
  </si>
  <si>
    <t>P27</t>
  </si>
  <si>
    <t>Record-to-Report</t>
  </si>
  <si>
    <t>Record transactions</t>
  </si>
  <si>
    <t>P28</t>
  </si>
  <si>
    <t>Close the period</t>
  </si>
  <si>
    <t>P29</t>
  </si>
  <si>
    <t>Produce financial and management reports</t>
  </si>
  <si>
    <t>P30</t>
  </si>
  <si>
    <t>Idea-to-Implementation</t>
  </si>
  <si>
    <t>Capture and prioritise ideas</t>
  </si>
  <si>
    <t>P31</t>
  </si>
  <si>
    <t>Design and build change</t>
  </si>
  <si>
    <t>P32</t>
  </si>
  <si>
    <t>Implement and embed</t>
  </si>
  <si>
    <t>P33</t>
  </si>
  <si>
    <t>Realise benefits</t>
  </si>
  <si>
    <t>P34</t>
  </si>
  <si>
    <t>Risk-to-Resilience</t>
  </si>
  <si>
    <t>Identify and assess risks and obligations</t>
  </si>
  <si>
    <t>P35</t>
  </si>
  <si>
    <t>Operate and test controls</t>
  </si>
  <si>
    <t>P36</t>
  </si>
  <si>
    <t>Manage incidents and breaches</t>
  </si>
  <si>
    <t>P37</t>
  </si>
  <si>
    <t>Maintain business continuity</t>
  </si>
  <si>
    <t>P38</t>
  </si>
  <si>
    <t>Request-to-Service (IT)</t>
  </si>
  <si>
    <t>Request IT services</t>
  </si>
  <si>
    <t>P39</t>
  </si>
  <si>
    <t>Manage change and release</t>
  </si>
  <si>
    <t>P40</t>
  </si>
  <si>
    <t>Resolve incidents and problems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</si>
  <si>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</si>
  <si>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</si>
  <si>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</si>
  <si>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</si>
  <si>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</si>
  <si>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</si>
  <si>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</si>
  <si>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</si>
  <si>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</si>
  <si>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</si>
  <si>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</si>
  <si>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</si>
  <si>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</si>
  <si>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</si>
  <si>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</si>
  <si>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</si>
  <si>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</si>
  <si>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</si>
  <si>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</si>
  <si>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</si>
  <si>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Organisation Structure: Spans, Layers &amp; Workforce Mix</t>
  </si>
  <si>
    <t>One row per business unit or function, using the HR system extract. Average span is approximated as (employee + contractor FTE − 1) ÷ people managers; replace with direct-report counts where available. Span benchmarks are on the Lists tab.</t>
  </si>
  <si>
    <t>Business unit / function</t>
  </si>
  <si>
    <t>Head of unit</t>
  </si>
  <si>
    <t>Nature of work</t>
  </si>
  <si>
    <t>Permanent FTE</t>
  </si>
  <si>
    <t>Fixed-term FTE</t>
  </si>
  <si>
    <t>Contractor FTE</t>
  </si>
  <si>
    <t>Outsourced FTE</t>
  </si>
  <si>
    <t>Total FTE</t>
  </si>
  <si>
    <t>Contractor &amp; outsourced %</t>
  </si>
  <si>
    <t>People managers (#)</t>
  </si>
  <si>
    <t>Management layers (CEO = 1)</t>
  </si>
  <si>
    <t>Average span of control</t>
  </si>
  <si>
    <t>Target span</t>
  </si>
  <si>
    <t>Span assessment</t>
  </si>
  <si>
    <t>Layers assessment</t>
  </si>
  <si>
    <t>Annual employee cost ($)</t>
  </si>
  <si>
    <t>Cost per employee FTE ($)</t>
  </si>
  <si>
    <t>Vacancies (#)</t>
  </si>
  <si>
    <t>Customer Operations</t>
  </si>
  <si>
    <t>GM Customer Operations</t>
  </si>
  <si>
    <t>Standardised / operational</t>
  </si>
  <si>
    <t>Two team leaders manage 25+ staff each.</t>
  </si>
  <si>
    <t>O01</t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</si>
  <si>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</si>
  <si>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</si>
  <si>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</si>
  <si>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</si>
  <si>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</si>
  <si>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</si>
  <si>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</si>
  <si>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</si>
  <si>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</si>
  <si>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</si>
  <si>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</si>
  <si>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</si>
  <si>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</si>
  <si>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</si>
  <si>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</si>
  <si>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</si>
  <si>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</si>
  <si>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</si>
  <si>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</si>
  <si>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</si>
  <si>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</si>
  <si>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</si>
  <si>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</si>
  <si>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</si>
  <si>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</si>
  <si>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O27</t>
  </si>
  <si>
    <t>O28</t>
  </si>
  <si>
    <t>O29</t>
  </si>
  <si>
    <t>O30</t>
  </si>
  <si>
    <t>Total (excluding example)</t>
  </si>
  <si>
    <t>Decision Rights Matrix (RAPID)</t>
  </si>
  <si>
    <t>R = Recommend  |  A = Agree (must sign off)  |  P = Perform (implements)  |  I = Input (consulted)  |  D = Decide (exactly one per decision). Record the current state as observed; role headings (yellow) can be renamed.</t>
  </si>
  <si>
    <t>Key decision</t>
  </si>
  <si>
    <t>Board</t>
  </si>
  <si>
    <t>Audit &amp; Risk Committee</t>
  </si>
  <si>
    <t>CEO</t>
  </si>
  <si>
    <t>Executive Committee</t>
  </si>
  <si>
    <t>Investment Committee</t>
  </si>
  <si>
    <t>COO</t>
  </si>
  <si>
    <t>CHRO</t>
  </si>
  <si>
    <t>BU Head</t>
  </si>
  <si>
    <t>Decide roles (#)</t>
  </si>
  <si>
    <t>Check</t>
  </si>
  <si>
    <t>Documented in delegations?</t>
  </si>
  <si>
    <t>Typical decision time (days)</t>
  </si>
  <si>
    <t>DEC01</t>
  </si>
  <si>
    <t>Approve organisational strategy</t>
  </si>
  <si>
    <t>DEC02</t>
  </si>
  <si>
    <t>Approve annual budget</t>
  </si>
  <si>
    <t>DEC03</t>
  </si>
  <si>
    <t>Approve risk appetite statement</t>
  </si>
  <si>
    <t>DEC04</t>
  </si>
  <si>
    <t>Approve launch of a new product or service</t>
  </si>
  <si>
    <t>DEC05</t>
  </si>
  <si>
    <t>Approve investment above delegated threshold</t>
  </si>
  <si>
    <t>DEC06</t>
  </si>
  <si>
    <t>Prioritise the change portfolio</t>
  </si>
  <si>
    <t>DEC07</t>
  </si>
  <si>
    <t>Approve organisational restructure</t>
  </si>
  <si>
    <t>DEC08</t>
  </si>
  <si>
    <t>Appoint executive roles</t>
  </si>
  <si>
    <t>DEC09</t>
  </si>
  <si>
    <t>Approve headcount increases</t>
  </si>
  <si>
    <t>DEC10</t>
  </si>
  <si>
    <t>Approve enterprise-level policies</t>
  </si>
  <si>
    <t>DEC11</t>
  </si>
  <si>
    <t>Award a major contract / select strategic supplier</t>
  </si>
  <si>
    <t>DEC12</t>
  </si>
  <si>
    <t>Approve technology architecture standards</t>
  </si>
  <si>
    <t>DEC13</t>
  </si>
  <si>
    <t>Approve a new technology platform or application</t>
  </si>
  <si>
    <t>DEC14</t>
  </si>
  <si>
    <t>Approve sharing data with third parties</t>
  </si>
  <si>
    <t>DEC15</t>
  </si>
  <si>
    <t>Accept a risk outside appetite</t>
  </si>
  <si>
    <t>DEC16</t>
  </si>
  <si>
    <t>Notify a regulator of a significant breach</t>
  </si>
  <si>
    <t>DEC17</t>
  </si>
  <si>
    <t>Approve pricing or fee changes</t>
  </si>
  <si>
    <t>DEC18</t>
  </si>
  <si>
    <t>Approve customer remediation or compensation</t>
  </si>
  <si>
    <t>DEC19</t>
  </si>
  <si>
    <t>Invoke business continuity plans</t>
  </si>
  <si>
    <t>DEC20</t>
  </si>
  <si>
    <t>Approve go-live of major change</t>
  </si>
  <si>
    <t>DEC21</t>
  </si>
  <si>
    <t>Approve deployment of an AI use case</t>
  </si>
  <si>
    <t>DEC22</t>
  </si>
  <si>
    <t>DEC23</t>
  </si>
  <si>
    <t>DEC24</t>
  </si>
  <si>
    <t>DEC25</t>
  </si>
  <si>
    <t>DEC26</t>
  </si>
  <si>
    <t>DEC27</t>
  </si>
  <si>
    <t>DEC28</t>
  </si>
  <si>
    <t>DEC29</t>
  </si>
  <si>
    <t>DEC30</t>
  </si>
  <si>
    <t>DEC31</t>
  </si>
  <si>
    <t>Application Portfolio</t>
  </si>
  <si>
    <t>TIME classification from business and technical fit (threshold on the Engagement tab): Invest = high / high, Migrate = high business / low technical, Tolerate = low business / high technical, Eliminate = low / low.</t>
  </si>
  <si>
    <t>Application name</t>
  </si>
  <si>
    <t>Description / purpose</t>
  </si>
  <si>
    <t>Capabilities supported</t>
  </si>
  <si>
    <t>Business owner</t>
  </si>
  <si>
    <t>Technical owner</t>
  </si>
  <si>
    <t>Vendor / product (version)</t>
  </si>
  <si>
    <t>Hosting model</t>
  </si>
  <si>
    <t>Users (#)</t>
  </si>
  <si>
    <t>Business criticality</t>
  </si>
  <si>
    <t>Annual cost ($)</t>
  </si>
  <si>
    <t>Support / contract end</t>
  </si>
  <si>
    <t>Support status</t>
  </si>
  <si>
    <t>Business fit (1–5)</t>
  </si>
  <si>
    <t>Technical fit (1–5)</t>
  </si>
  <si>
    <t>TIME classification</t>
  </si>
  <si>
    <t>Days to support end</t>
  </si>
  <si>
    <t>Data classification</t>
  </si>
  <si>
    <t>Interfaces (#)</t>
  </si>
  <si>
    <t>Overlap / duplication</t>
  </si>
  <si>
    <t>Case Management System</t>
  </si>
  <si>
    <t>Manages client cases from intake to closure</t>
  </si>
  <si>
    <t>Case management; Customer support</t>
  </si>
  <si>
    <t>GM Operations</t>
  </si>
  <si>
    <t>Applications Manager</t>
  </si>
  <si>
    <t>Vendor product (v9.2)</t>
  </si>
  <si>
    <t>Private cloud</t>
  </si>
  <si>
    <t>Critical</t>
  </si>
  <si>
    <t>Extended support</t>
  </si>
  <si>
    <t>Confidential</t>
  </si>
  <si>
    <t>Contact history duplicated in legacy CRM</t>
  </si>
  <si>
    <t>Heavy customisation is blocking upgrades.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</si>
  <si>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</si>
  <si>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</si>
  <si>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</si>
  <si>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</si>
  <si>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</si>
  <si>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</si>
  <si>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</si>
  <si>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</si>
  <si>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</si>
  <si>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</si>
  <si>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</si>
  <si>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</si>
  <si>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</si>
  <si>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</si>
  <si>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</si>
  <si>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</si>
  <si>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</si>
  <si>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</si>
  <si>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</si>
  <si>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</si>
  <si>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</si>
  <si>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</si>
  <si>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</si>
  <si>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</si>
  <si>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</si>
  <si>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</si>
  <si>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</si>
  <si>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</si>
  <si>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</si>
  <si>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</si>
  <si>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</si>
  <si>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</si>
  <si>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</si>
  <si>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</si>
  <si>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</si>
  <si>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</si>
  <si>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</si>
  <si>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</si>
  <si>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</si>
  <si>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</si>
  <si>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</si>
  <si>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</si>
  <si>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</si>
  <si>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</si>
  <si>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</si>
  <si>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</si>
  <si>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</si>
  <si>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</si>
  <si>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</si>
  <si>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</si>
  <si>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</si>
  <si>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</si>
  <si>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</si>
  <si>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</si>
  <si>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</si>
  <si>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</si>
  <si>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</si>
  <si>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</si>
  <si>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</si>
  <si>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</si>
  <si>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</si>
  <si>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</si>
  <si>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</si>
  <si>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</si>
  <si>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</si>
  <si>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</si>
  <si>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</si>
  <si>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</si>
  <si>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</si>
  <si>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</si>
  <si>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</si>
  <si>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</si>
  <si>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</si>
  <si>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</si>
  <si>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</si>
  <si>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</si>
  <si>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</si>
  <si>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</si>
  <si>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</si>
  <si>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</si>
  <si>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</si>
  <si>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</si>
  <si>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</si>
  <si>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</si>
  <si>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</si>
  <si>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</si>
  <si>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</si>
  <si>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</si>
  <si>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</si>
  <si>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</si>
  <si>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</si>
  <si>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</si>
  <si>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</si>
  <si>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</si>
  <si>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</si>
  <si>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</si>
  <si>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</si>
  <si>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</si>
  <si>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</si>
  <si>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</si>
  <si>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</si>
  <si>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</si>
  <si>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</si>
  <si>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</si>
  <si>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</si>
  <si>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</si>
  <si>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</si>
  <si>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</si>
  <si>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</si>
  <si>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</si>
  <si>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</si>
  <si>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</si>
  <si>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</si>
  <si>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</si>
  <si>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</si>
  <si>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</si>
  <si>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</si>
  <si>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</si>
  <si>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</si>
  <si>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</si>
  <si>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</si>
  <si>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</si>
  <si>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</si>
  <si>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</si>
  <si>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</si>
  <si>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</si>
  <si>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</si>
  <si>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</si>
  <si>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</si>
  <si>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</si>
  <si>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</si>
  <si>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</si>
  <si>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</si>
  <si>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</si>
  <si>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</si>
  <si>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</si>
  <si>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</si>
  <si>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</si>
  <si>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</si>
  <si>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</si>
  <si>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</si>
  <si>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</si>
  <si>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</si>
  <si>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</si>
  <si>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</si>
  <si>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</si>
  <si>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</si>
  <si>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</si>
  <si>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</si>
  <si>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</si>
  <si>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Supplier &amp; Sourcing Register</t>
  </si>
  <si>
    <t>Focus on suppliers that deliver or enable in-scope capabilities. Dependency risk: High = single source with no complete exit plan; Medium = single source with an exit plan, or a material service provider without a complete exit plan.</t>
  </si>
  <si>
    <t>Supplier</t>
  </si>
  <si>
    <t>Services provided</t>
  </si>
  <si>
    <t>Capability / process supported</t>
  </si>
  <si>
    <t>Segment</t>
  </si>
  <si>
    <t>Annual spend ($)</t>
  </si>
  <si>
    <t>% of total spend</t>
  </si>
  <si>
    <t>Contract start</t>
  </si>
  <si>
    <t>Contract end</t>
  </si>
  <si>
    <t>Days to expiry</t>
  </si>
  <si>
    <t>Renewal flag</t>
  </si>
  <si>
    <t>Material service provider?</t>
  </si>
  <si>
    <t>Single source?</t>
  </si>
  <si>
    <t>Exit plan in place?</t>
  </si>
  <si>
    <t>Dependency risk</t>
  </si>
  <si>
    <t>Performance rating (1–5)</t>
  </si>
  <si>
    <t>Security assurance</t>
  </si>
  <si>
    <t>Contract owner</t>
  </si>
  <si>
    <t>Managed IT services provider</t>
  </si>
  <si>
    <t>Service desk, end-user support and infrastructure operations</t>
  </si>
  <si>
    <t>IT service management; Infrastructure</t>
  </si>
  <si>
    <t>Yes</t>
  </si>
  <si>
    <t>Partial</t>
  </si>
  <si>
    <t>ISO/IEC 27001 certified</t>
  </si>
  <si>
    <t>Head of IT Operations</t>
  </si>
  <si>
    <t>No tested exit plan; knowledge concentrated in the provider.</t>
  </si>
  <si>
    <t>SUP001</t>
  </si>
  <si>
    <t>SUP002</t>
  </si>
  <si>
    <t>SUP003</t>
  </si>
  <si>
    <t>SUP004</t>
  </si>
  <si>
    <t>SUP005</t>
  </si>
  <si>
    <t>SUP006</t>
  </si>
  <si>
    <t>SUP007</t>
  </si>
  <si>
    <t>SUP008</t>
  </si>
  <si>
    <t>SUP009</t>
  </si>
  <si>
    <t>SUP010</t>
  </si>
  <si>
    <t>SUP011</t>
  </si>
  <si>
    <t>SUP012</t>
  </si>
  <si>
    <t>SUP013</t>
  </si>
  <si>
    <t>SUP014</t>
  </si>
  <si>
    <t>SUP015</t>
  </si>
  <si>
    <t>SUP016</t>
  </si>
  <si>
    <t>SUP017</t>
  </si>
  <si>
    <t>SUP018</t>
  </si>
  <si>
    <t>SUP019</t>
  </si>
  <si>
    <t>SUP020</t>
  </si>
  <si>
    <t>SUP021</t>
  </si>
  <si>
    <t>SUP022</t>
  </si>
  <si>
    <t>SUP023</t>
  </si>
  <si>
    <t>SUP024</t>
  </si>
  <si>
    <t>SUP025</t>
  </si>
  <si>
    <t>SUP026</t>
  </si>
  <si>
    <t>SUP027</t>
  </si>
  <si>
    <t>SUP028</t>
  </si>
  <si>
    <t>SUP029</t>
  </si>
  <si>
    <t>SUP030</t>
  </si>
  <si>
    <t>SUP031</t>
  </si>
  <si>
    <t>SUP032</t>
  </si>
  <si>
    <t>SUP033</t>
  </si>
  <si>
    <t>SUP034</t>
  </si>
  <si>
    <t>SUP035</t>
  </si>
  <si>
    <t>SUP036</t>
  </si>
  <si>
    <t>SUP037</t>
  </si>
  <si>
    <t>SUP038</t>
  </si>
  <si>
    <t>SUP039</t>
  </si>
  <si>
    <t>SUP040</t>
  </si>
  <si>
    <t>SUP041</t>
  </si>
  <si>
    <t>SUP042</t>
  </si>
  <si>
    <t>SUP043</t>
  </si>
  <si>
    <t>SUP044</t>
  </si>
  <si>
    <t>SUP045</t>
  </si>
  <si>
    <t>SUP046</t>
  </si>
  <si>
    <t>SUP047</t>
  </si>
  <si>
    <t>SUP048</t>
  </si>
  <si>
    <t>SUP049</t>
  </si>
  <si>
    <t>SUP050</t>
  </si>
  <si>
    <t>SUP051</t>
  </si>
  <si>
    <t>SUP052</t>
  </si>
  <si>
    <t>SUP053</t>
  </si>
  <si>
    <t>SUP054</t>
  </si>
  <si>
    <t>SUP055</t>
  </si>
  <si>
    <t>SUP056</t>
  </si>
  <si>
    <t>SUP057</t>
  </si>
  <si>
    <t>SUP058</t>
  </si>
  <si>
    <t>SUP059</t>
  </si>
  <si>
    <t>SUP060</t>
  </si>
  <si>
    <t>SUP061</t>
  </si>
  <si>
    <t>SUP062</t>
  </si>
  <si>
    <t>SUP063</t>
  </si>
  <si>
    <t>SUP064</t>
  </si>
  <si>
    <t>SUP065</t>
  </si>
  <si>
    <t>SUP066</t>
  </si>
  <si>
    <t>SUP067</t>
  </si>
  <si>
    <t>SUP068</t>
  </si>
  <si>
    <t>SUP069</t>
  </si>
  <si>
    <t>SUP070</t>
  </si>
  <si>
    <t>SUP071</t>
  </si>
  <si>
    <t>SUP072</t>
  </si>
  <si>
    <t>SUP073</t>
  </si>
  <si>
    <t>SUP074</t>
  </si>
  <si>
    <t>SUP075</t>
  </si>
  <si>
    <t>SUP076</t>
  </si>
  <si>
    <t>SUP077</t>
  </si>
  <si>
    <t>SUP078</t>
  </si>
  <si>
    <t>SUP079</t>
  </si>
  <si>
    <t>SUP080</t>
  </si>
  <si>
    <t>SUP081</t>
  </si>
  <si>
    <t>SUP082</t>
  </si>
  <si>
    <t>SUP083</t>
  </si>
  <si>
    <t>SUP084</t>
  </si>
  <si>
    <t>SUP085</t>
  </si>
  <si>
    <t>SUP086</t>
  </si>
  <si>
    <t>SUP087</t>
  </si>
  <si>
    <t>SUP088</t>
  </si>
  <si>
    <t>SUP089</t>
  </si>
  <si>
    <t>SUP090</t>
  </si>
  <si>
    <t>SUP091</t>
  </si>
  <si>
    <t>SUP092</t>
  </si>
  <si>
    <t>SUP093</t>
  </si>
  <si>
    <t>SUP094</t>
  </si>
  <si>
    <t>SUP095</t>
  </si>
  <si>
    <t>SUP096</t>
  </si>
  <si>
    <t>SUP097</t>
  </si>
  <si>
    <t>SUP098</t>
  </si>
  <si>
    <t>SUP099</t>
  </si>
  <si>
    <t>SUP100</t>
  </si>
  <si>
    <t>Total annual spend (excluding example)</t>
  </si>
  <si>
    <t>Locations &amp; Property Register</t>
  </si>
  <si>
    <t>One row per site. Utilisation is average occupied workstations ÷ capacity, entered as a percentage.</t>
  </si>
  <si>
    <t>Site name</t>
  </si>
  <si>
    <t>City / state</t>
  </si>
  <si>
    <t>Site type</t>
  </si>
  <si>
    <t>Functions performed</t>
  </si>
  <si>
    <t>FTE based at site</t>
  </si>
  <si>
    <t>Workstations / capacity</t>
  </si>
  <si>
    <t>Average utilisation (%)</t>
  </si>
  <si>
    <t>Tenure</t>
  </si>
  <si>
    <t>Lease expiry</t>
  </si>
  <si>
    <t>Days to lease expiry</t>
  </si>
  <si>
    <t>Annual property cost ($)</t>
  </si>
  <si>
    <t>Cost per FTE ($)</t>
  </si>
  <si>
    <t>Cost per workstation ($)</t>
  </si>
  <si>
    <t>Critical site?</t>
  </si>
  <si>
    <t>Alternate / BCP site</t>
  </si>
  <si>
    <t>Parramatta Service Centre</t>
  </si>
  <si>
    <t>Parramatta, NSW</t>
  </si>
  <si>
    <t>Service centre</t>
  </si>
  <si>
    <t>Claims processing; contact centre</t>
  </si>
  <si>
    <t>Leased</t>
  </si>
  <si>
    <t>Work from home; Sydney CBD office</t>
  </si>
  <si>
    <t>Lease expiry aligns with footprint review.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</si>
  <si>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</si>
  <si>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</si>
  <si>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</si>
  <si>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</si>
  <si>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</si>
  <si>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</si>
  <si>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</si>
  <si>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</si>
  <si>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</si>
  <si>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</si>
  <si>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</si>
  <si>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</si>
  <si>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</si>
  <si>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</si>
  <si>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</si>
  <si>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</si>
  <si>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</si>
  <si>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</si>
  <si>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</si>
  <si>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</si>
  <si>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</si>
  <si>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</si>
  <si>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</si>
  <si>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</si>
  <si>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</si>
  <si>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</si>
  <si>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</si>
  <si>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</si>
  <si>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</si>
  <si>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</si>
  <si>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</si>
  <si>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</si>
  <si>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</si>
  <si>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</si>
  <si>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</si>
  <si>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</si>
  <si>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</si>
  <si>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</si>
  <si>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</si>
  <si>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</si>
  <si>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Annual operating cost by business unit / function and cost type (AUD, latest full financial year), reconciled to the general ledger.</t>
  </si>
  <si>
    <t>Employee costs ($)</t>
  </si>
  <si>
    <t>Contractor costs ($)</t>
  </si>
  <si>
    <t>Technology costs ($)</t>
  </si>
  <si>
    <t>Property costs ($)</t>
  </si>
  <si>
    <t>Outsourced / third-party ($)</t>
  </si>
  <si>
    <t>Other operating ($)</t>
  </si>
  <si>
    <t>Total cost ($)</t>
  </si>
  <si>
    <t>% of total</t>
  </si>
  <si>
    <t>FTE</t>
  </si>
  <si>
    <t>Of which change / project spend ($)</t>
  </si>
  <si>
    <t>Change spend %</t>
  </si>
  <si>
    <t>Includes allocated contact-centre technology.</t>
  </si>
  <si>
    <t>CB01</t>
  </si>
  <si>
    <t>CB02</t>
  </si>
  <si>
    <t>CB03</t>
  </si>
  <si>
    <t>CB04</t>
  </si>
  <si>
    <t>CB05</t>
  </si>
  <si>
    <t>CB06</t>
  </si>
  <si>
    <t>CB07</t>
  </si>
  <si>
    <t>CB08</t>
  </si>
  <si>
    <t>CB09</t>
  </si>
  <si>
    <t>CB10</t>
  </si>
  <si>
    <t>CB11</t>
  </si>
  <si>
    <t>CB12</t>
  </si>
  <si>
    <t>CB13</t>
  </si>
  <si>
    <t>CB14</t>
  </si>
  <si>
    <t>CB15</t>
  </si>
  <si>
    <t>CB16</t>
  </si>
  <si>
    <t>CB17</t>
  </si>
  <si>
    <t>CB18</t>
  </si>
  <si>
    <t>CB19</t>
  </si>
  <si>
    <t>CB20</t>
  </si>
  <si>
    <t>CB21</t>
  </si>
  <si>
    <t>CB22</t>
  </si>
  <si>
    <t>CB23</t>
  </si>
  <si>
    <t>CB24</t>
  </si>
  <si>
    <t>CB25</t>
  </si>
  <si>
    <t>CB26</t>
  </si>
  <si>
    <t>CB27</t>
  </si>
  <si>
    <t>CB28</t>
  </si>
  <si>
    <t>CB29</t>
  </si>
  <si>
    <t>CB30</t>
  </si>
  <si>
    <t>Cost mix (% of total)</t>
  </si>
  <si>
    <t>Findings Log</t>
  </si>
  <si>
    <t>Record each finding with its evidence, root cause and impact. Link findings to Assessment question IDs and to recommendations.</t>
  </si>
  <si>
    <t>Date raised</t>
  </si>
  <si>
    <t>Finding / observation</t>
  </si>
  <si>
    <t>Evidence source(s)</t>
  </si>
  <si>
    <t>Root cause</t>
  </si>
  <si>
    <t>Business impact</t>
  </si>
  <si>
    <t>Severity</t>
  </si>
  <si>
    <t>Linked question ID(s)</t>
  </si>
  <si>
    <t>Stakeholder validated?</t>
  </si>
  <si>
    <t>Finding owner</t>
  </si>
  <si>
    <t>Linked recommendation(s)</t>
  </si>
  <si>
    <t>Investment decisions below $250k are escalated to the Executive Committee, adding four to six weeks to minor change.</t>
  </si>
  <si>
    <t>Executive Committee minutes (Jan–Jun 2026); six interviews</t>
  </si>
  <si>
    <t>Delegations not updated since the 2019 restructure</t>
  </si>
  <si>
    <t>Slower delivery of minor change; executive time spent on low-value decisions</t>
  </si>
  <si>
    <t>D07.03; D07.05</t>
  </si>
  <si>
    <t>See example on Recommendations tab</t>
  </si>
  <si>
    <t>Validated</t>
  </si>
  <si>
    <t>F001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</si>
  <si>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</si>
  <si>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</si>
  <si>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</si>
  <si>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</si>
  <si>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</si>
  <si>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</si>
  <si>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</si>
  <si>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</si>
  <si>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</si>
  <si>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</si>
  <si>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</si>
  <si>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</si>
  <si>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</si>
  <si>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</si>
  <si>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</si>
  <si>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</si>
  <si>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</si>
  <si>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</si>
  <si>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</si>
  <si>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</si>
  <si>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</si>
  <si>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</si>
  <si>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</si>
  <si>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</si>
  <si>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</si>
  <si>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</si>
  <si>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</si>
  <si>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</si>
  <si>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</si>
  <si>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</si>
  <si>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</si>
  <si>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</si>
  <si>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</si>
  <si>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</si>
  <si>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</si>
  <si>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</si>
  <si>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</si>
  <si>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</si>
  <si>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</si>
  <si>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</si>
  <si>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</si>
  <si>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</si>
  <si>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</si>
  <si>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</si>
  <si>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</si>
  <si>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</si>
  <si>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</si>
  <si>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</si>
  <si>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</si>
  <si>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F051</t>
  </si>
  <si>
    <t>F052</t>
  </si>
  <si>
    <t>F053</t>
  </si>
  <si>
    <t>F054</t>
  </si>
  <si>
    <t>F055</t>
  </si>
  <si>
    <t>F056</t>
  </si>
  <si>
    <t>F057</t>
  </si>
  <si>
    <t>F058</t>
  </si>
  <si>
    <t>F059</t>
  </si>
  <si>
    <t>F060</t>
  </si>
  <si>
    <t>F061</t>
  </si>
  <si>
    <t>F062</t>
  </si>
  <si>
    <t>F063</t>
  </si>
  <si>
    <t>F064</t>
  </si>
  <si>
    <t>F065</t>
  </si>
  <si>
    <t>F066</t>
  </si>
  <si>
    <t>F067</t>
  </si>
  <si>
    <t>F068</t>
  </si>
  <si>
    <t>F069</t>
  </si>
  <si>
    <t>F070</t>
  </si>
  <si>
    <t>F071</t>
  </si>
  <si>
    <t>F072</t>
  </si>
  <si>
    <t>F073</t>
  </si>
  <si>
    <t>F074</t>
  </si>
  <si>
    <t>F075</t>
  </si>
  <si>
    <t>F076</t>
  </si>
  <si>
    <t>F077</t>
  </si>
  <si>
    <t>F078</t>
  </si>
  <si>
    <t>F079</t>
  </si>
  <si>
    <t>F080</t>
  </si>
  <si>
    <t>F081</t>
  </si>
  <si>
    <t>F082</t>
  </si>
  <si>
    <t>F083</t>
  </si>
  <si>
    <t>F084</t>
  </si>
  <si>
    <t>F085</t>
  </si>
  <si>
    <t>F086</t>
  </si>
  <si>
    <t>F087</t>
  </si>
  <si>
    <t>F088</t>
  </si>
  <si>
    <t>F089</t>
  </si>
  <si>
    <t>F090</t>
  </si>
  <si>
    <t>F091</t>
  </si>
  <si>
    <t>F092</t>
  </si>
  <si>
    <t>F093</t>
  </si>
  <si>
    <t>F094</t>
  </si>
  <si>
    <t>F095</t>
  </si>
  <si>
    <t>F096</t>
  </si>
  <si>
    <t>F097</t>
  </si>
  <si>
    <t>F098</t>
  </si>
  <si>
    <t>F099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</si>
  <si>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</si>
  <si>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</si>
  <si>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</si>
  <si>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</si>
  <si>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</si>
  <si>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</si>
  <si>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</si>
  <si>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</si>
  <si>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</si>
  <si>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</si>
  <si>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</si>
  <si>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</si>
  <si>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</si>
  <si>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</si>
  <si>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</si>
  <si>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</si>
  <si>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</si>
  <si>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</si>
  <si>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</si>
  <si>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</si>
  <si>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</si>
  <si>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</si>
  <si>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</si>
  <si>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</si>
  <si>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</si>
  <si>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</si>
  <si>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</si>
  <si>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</si>
  <si>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</si>
  <si>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</si>
  <si>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</si>
  <si>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</si>
  <si>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</si>
  <si>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</si>
  <si>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</si>
  <si>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</si>
  <si>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</si>
  <si>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</si>
  <si>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</si>
  <si>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</si>
  <si>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</si>
  <si>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</si>
  <si>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</si>
  <si>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</si>
  <si>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</si>
  <si>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</si>
  <si>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</si>
  <si>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</si>
  <si>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</si>
  <si>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</si>
  <si>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</si>
  <si>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Operating Model Assessment Dashboard</t>
  </si>
  <si>
    <t>All figures update automatically from the Assessment, Findings, Recommendations, Stakeholders and Document Requests tabs. Averages exclude unscored and N/A questions.</t>
  </si>
  <si>
    <t>Headline metrics</t>
  </si>
  <si>
    <t>Recommendation profile (excluding example)</t>
  </si>
  <si>
    <t>Overall current maturity (1–5)</t>
  </si>
  <si>
    <t>Category</t>
  </si>
  <si>
    <t>0–3 months</t>
  </si>
  <si>
    <t>3–12 months</t>
  </si>
  <si>
    <t>12–24 months</t>
  </si>
  <si>
    <t>24+ months</t>
  </si>
  <si>
    <t>Total</t>
  </si>
  <si>
    <t>Overall target maturity (assessed questions)</t>
  </si>
  <si>
    <t>Quick win</t>
  </si>
  <si>
    <t>Average maturity gap</t>
  </si>
  <si>
    <t>Strategic initiative</t>
  </si>
  <si>
    <t>Overall RAG</t>
  </si>
  <si>
    <t>Fill-in</t>
  </si>
  <si>
    <t>Assessment questions scored</t>
  </si>
  <si>
    <t>Deprioritise</t>
  </si>
  <si>
    <t>Stakeholder interviews completed</t>
  </si>
  <si>
    <t>Documents received</t>
  </si>
  <si>
    <t>Open critical and high findings</t>
  </si>
  <si>
    <t>Maturity and findings by dimension</t>
  </si>
  <si>
    <t>Short name</t>
  </si>
  <si>
    <t>Scored (#)</t>
  </si>
  <si>
    <t>% complete</t>
  </si>
  <si>
    <t>Avg current</t>
  </si>
  <si>
    <t>Avg target</t>
  </si>
  <si>
    <t>Avg gap</t>
  </si>
  <si>
    <t>Priority index</t>
  </si>
  <si>
    <t>Recs (#)</t>
  </si>
  <si>
    <t>Customers &amp; Channels</t>
  </si>
  <si>
    <t>Governance</t>
  </si>
  <si>
    <t>Culture</t>
  </si>
  <si>
    <t>Performance</t>
  </si>
  <si>
    <t>Data</t>
  </si>
  <si>
    <t>Change</t>
  </si>
  <si>
    <t>Overall</t>
  </si>
  <si>
    <t>Charts</t>
  </si>
  <si>
    <t>Current vs Target Operating Model</t>
  </si>
  <si>
    <t>Summarise the current state, target state and key shifts for each dimension. Maturity figures link to the Dashboard.</t>
  </si>
  <si>
    <t>Current maturity</t>
  </si>
  <si>
    <t>Target maturity</t>
  </si>
  <si>
    <t>Current state summary</t>
  </si>
  <si>
    <t>Target state description</t>
  </si>
  <si>
    <t>Key shifts (from → to)</t>
  </si>
  <si>
    <t>Design principles applied</t>
  </si>
  <si>
    <t>Key enablers &amp; dependencies</t>
  </si>
  <si>
    <t>Linked recommendations</t>
  </si>
  <si>
    <t>Recommendations &amp; Roadmap</t>
  </si>
  <si>
    <t>Score Value (benefit and strategic impact) and Ease (cost, complexity, risk, time; 5 = easiest) from 1 to 5. Category is derived from the prioritisation threshold on the Engagement tab.</t>
  </si>
  <si>
    <t>Recommendation</t>
  </si>
  <si>
    <t>Linked finding(s)</t>
  </si>
  <si>
    <t>Expected benefits</t>
  </si>
  <si>
    <t>Value (1–5)</t>
  </si>
  <si>
    <t>Ease (1–5)</t>
  </si>
  <si>
    <t>Horizon</t>
  </si>
  <si>
    <t>Indicative cost ($)</t>
  </si>
  <si>
    <t>Accountable owner</t>
  </si>
  <si>
    <t>Dependencies</t>
  </si>
  <si>
    <t>Key risks</t>
  </si>
  <si>
    <t>Refresh delegations of authority to align with the current structure and risk appetite, devolving investment decisions below $250k to business unit heads.</t>
  </si>
  <si>
    <t>Example finding</t>
  </si>
  <si>
    <t>Faster delivery of minor change; executive time refocused on strategic decisions</t>
  </si>
  <si>
    <t>Refresh of risk appetite statement</t>
  </si>
  <si>
    <t>Weaker control if delegations are not system-enforced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</si>
  <si>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</si>
  <si>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</si>
  <si>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</si>
  <si>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</si>
  <si>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</si>
  <si>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</si>
  <si>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</si>
  <si>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</si>
  <si>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</si>
  <si>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</si>
  <si>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</si>
  <si>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</si>
  <si>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</si>
  <si>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</si>
  <si>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</si>
  <si>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</si>
  <si>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</si>
  <si>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</si>
  <si>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</si>
  <si>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</si>
  <si>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</si>
  <si>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</si>
  <si>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</si>
  <si>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</si>
  <si>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</si>
  <si>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</si>
  <si>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</si>
  <si>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</si>
  <si>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</si>
  <si>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</si>
  <si>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</si>
  <si>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</si>
  <si>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</si>
  <si>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</si>
  <si>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</si>
  <si>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</si>
  <si>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</si>
  <si>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</si>
  <si>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</si>
  <si>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</si>
  <si>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</si>
  <si>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</si>
  <si>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</si>
  <si>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</si>
  <si>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</si>
  <si>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</si>
  <si>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</si>
  <si>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</si>
  <si>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</si>
  <si>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</si>
  <si>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</si>
  <si>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</si>
  <si>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</si>
  <si>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</si>
  <si>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</si>
  <si>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</si>
  <si>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</si>
  <si>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</si>
  <si>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</si>
  <si>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</si>
  <si>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</si>
  <si>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</si>
  <si>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</si>
  <si>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</si>
  <si>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</si>
  <si>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</si>
  <si>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</si>
  <si>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</si>
  <si>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</si>
  <si>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</si>
  <si>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</si>
  <si>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</si>
  <si>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</si>
  <si>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</si>
  <si>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</si>
  <si>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</si>
  <si>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</si>
  <si>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</si>
  <si>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</si>
  <si>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</si>
  <si>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Total indicative cost (excluding example)</t>
  </si>
  <si>
    <t>Maturity score</t>
  </si>
  <si>
    <t>Importance weight</t>
  </si>
  <si>
    <t>High / Medium / Low</t>
  </si>
  <si>
    <t>Severity / criticality</t>
  </si>
  <si>
    <t>Yes / No / Partial</t>
  </si>
  <si>
    <t>Yes / No</t>
  </si>
  <si>
    <t>Validation</t>
  </si>
  <si>
    <t>Finding status</t>
  </si>
  <si>
    <t>Recommendation status</t>
  </si>
  <si>
    <t>Recommendation category</t>
  </si>
  <si>
    <t>Interview status</t>
  </si>
  <si>
    <t>Document status</t>
  </si>
  <si>
    <t>Supplier segment (Kraljic)</t>
  </si>
  <si>
    <t>RAPID code</t>
  </si>
  <si>
    <t>Principle status</t>
  </si>
  <si>
    <t>Span min</t>
  </si>
  <si>
    <t>Span max</t>
  </si>
  <si>
    <t>Importance</t>
  </si>
  <si>
    <t>Weight</t>
  </si>
  <si>
    <t>Red</t>
  </si>
  <si>
    <t>Open</t>
  </si>
  <si>
    <t>Not scheduled</t>
  </si>
  <si>
    <t>Differentiating</t>
  </si>
  <si>
    <t>In-house</t>
  </si>
  <si>
    <t>Manual</t>
  </si>
  <si>
    <t>On-premises</t>
  </si>
  <si>
    <t>Supported</t>
  </si>
  <si>
    <t>Public</t>
  </si>
  <si>
    <t>Head office</t>
  </si>
  <si>
    <t>Owned</t>
  </si>
  <si>
    <t>R</t>
  </si>
  <si>
    <t>Specialist / complex</t>
  </si>
  <si>
    <t>Amber</t>
  </si>
  <si>
    <t>No</t>
  </si>
  <si>
    <t>Endorsed</t>
  </si>
  <si>
    <t>Requested</t>
  </si>
  <si>
    <t>Competitive parity</t>
  </si>
  <si>
    <t>Shared service</t>
  </si>
  <si>
    <t>Partially automated</t>
  </si>
  <si>
    <t>Internal</t>
  </si>
  <si>
    <t>Leverage</t>
  </si>
  <si>
    <t>SOC 2 Type II report</t>
  </si>
  <si>
    <t>Regional office</t>
  </si>
  <si>
    <t>A</t>
  </si>
  <si>
    <t>Discovery</t>
  </si>
  <si>
    <t>Agreed</t>
  </si>
  <si>
    <t>Mixed / professional</t>
  </si>
  <si>
    <t>Green</t>
  </si>
  <si>
    <t>Pending</t>
  </si>
  <si>
    <t>Closed</t>
  </si>
  <si>
    <t>In progress</t>
  </si>
  <si>
    <t>Completed</t>
  </si>
  <si>
    <t>Received</t>
  </si>
  <si>
    <t>Commodity</t>
  </si>
  <si>
    <t>Outsourced</t>
  </si>
  <si>
    <t>Highly automated</t>
  </si>
  <si>
    <t>Public cloud (IaaS / PaaS)</t>
  </si>
  <si>
    <t>End of life</t>
  </si>
  <si>
    <t>Bottleneck</t>
  </si>
  <si>
    <t>Assessed by client</t>
  </si>
  <si>
    <t>Shared / co-located</t>
  </si>
  <si>
    <t>P</t>
  </si>
  <si>
    <t>Analysis</t>
  </si>
  <si>
    <t>Retired</t>
  </si>
  <si>
    <t>Complete</t>
  </si>
  <si>
    <t>Cancelled</t>
  </si>
  <si>
    <t>Partially received</t>
  </si>
  <si>
    <t>Partnered</t>
  </si>
  <si>
    <t>SaaS</t>
  </si>
  <si>
    <t>Unknown</t>
  </si>
  <si>
    <t>Restricted</t>
  </si>
  <si>
    <t>Non-critical</t>
  </si>
  <si>
    <t>Not assessed</t>
  </si>
  <si>
    <t>Contact centre</t>
  </si>
  <si>
    <t>Serviced office</t>
  </si>
  <si>
    <t>I</t>
  </si>
  <si>
    <t>Highly routine / transactional</t>
  </si>
  <si>
    <t>Rejected</t>
  </si>
  <si>
    <t>Not available</t>
  </si>
  <si>
    <t>Hybrid</t>
  </si>
  <si>
    <t>Operations site</t>
  </si>
  <si>
    <t>D</t>
  </si>
  <si>
    <t>N/A</t>
  </si>
  <si>
    <t>Data centre</t>
  </si>
  <si>
    <t>Indicative practitioner benchmarks for average span of control by nature of work. Adjust to the client context and any benchmark data available.</t>
  </si>
  <si>
    <t>Warehouse / logistics</t>
  </si>
  <si>
    <t>Retail / shopfront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</si>
</sst>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/mm/yyyy"/>
    <numFmt numFmtId="165" formatCode="0;\-0;0"/>
    <numFmt numFmtId="166" formatCode="0.0"/>
    <numFmt numFmtId="167" formatCode="#,##0.0"/>
    <numFmt numFmtId="168" formatCode="\$#,##0;&quot;($&quot;#,##0\);\-"/>
    <numFmt numFmtId="169" formatCode="0.0%"/>
    <numFmt numFmtId="170" formatCode="0;\-0;\-"/>
  </numFmts>
  <fonts count="23" x14ac:knownFonts="1">
    <font>
      <sz val="10"/>
      <name val="Arial"/>
      <charset val="1"/>
    </font>
    <font>
      <sz val="10"/>
      <name val="Arial"/>
      <family val="2"/>
    </font>
    <font>
      <b/>
      <sz val="22"/>
      <color rgb="FF1F3864"/>
      <name val="Arial"/>
      <family val="2"/>
    </font>
    <font>
      <b/>
      <sz val="12"/>
      <color rgb="FF1B6E7E"/>
      <name val="Arial"/>
      <family val="2"/>
    </font>
    <font>
      <sz val="10"/>
      <color rgb="FF008000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  <charset val="1"/>
    </font>
    <font>
      <sz val="10"/>
      <color rgb="FF000000"/>
      <name val="Arial"/>
      <family val="2"/>
    </font>
    <font>
      <b/>
      <sz val="10"/>
      <color rgb="FF1F3864"/>
      <name val="Arial"/>
      <family val="2"/>
    </font>
    <font>
      <u/>
      <sz val="10"/>
      <color rgb="FF0563C1"/>
      <name val="Arial"/>
      <family val="2"/>
    </font>
    <font>
      <sz val="10"/>
      <color rgb="FF0000FF"/>
      <name val="Arial"/>
      <family val="2"/>
    </font>
    <font>
      <i/>
      <sz val="10"/>
      <color rgb="FF808080"/>
      <name val="Arial"/>
      <family val="2"/>
    </font>
    <font>
      <b/>
      <sz val="10"/>
      <color rgb="FF000000"/>
      <name val="Arial"/>
      <family val="2"/>
    </font>
    <font>
      <i/>
      <sz val="10"/>
      <color rgb="FF404040"/>
      <name val="Arial"/>
      <family val="2"/>
    </font>
    <font>
      <b/>
      <sz val="16"/>
      <color rgb="FF1F3864"/>
      <name val="Arial"/>
      <family val="2"/>
    </font>
    <font>
      <i/>
      <sz val="10"/>
      <color rgb="FF000000"/>
      <name val="Arial"/>
      <family val="2"/>
    </font>
    <font>
      <sz val="9"/>
      <color rgb="FF808080"/>
      <name val="Arial"/>
      <family val="2"/>
    </font>
    <font>
      <sz val="10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color rgb="FF0000FF"/>
      <name val="Arial"/>
      <family val="2"/>
    </font>
    <font>
      <i/>
      <sz val="9"/>
      <color rgb="FF808080"/>
      <name val="Arial"/>
      <family val="2"/>
    </font>
    <font>
      <b/>
      <sz val="11"/>
      <color rgb="FF000000"/>
      <name val="Arial"/>
      <family val="2"/>
    </font>
    <font>
      <i/>
      <sz val="9"/>
      <color rgb="FF008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B6E7E"/>
        <bgColor rgb="FF008080"/>
      </patternFill>
    </fill>
    <fill>
      <patternFill patternType="solid">
        <fgColor rgb="FF1F3864"/>
        <bgColor rgb="FF333399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DEDED"/>
      </patternFill>
    </fill>
    <fill>
      <patternFill patternType="solid">
        <fgColor rgb="FFE9EEF6"/>
        <bgColor rgb="FFEDEDED"/>
      </patternFill>
    </fill>
    <fill>
      <patternFill patternType="solid">
        <fgColor rgb="FFFFFFFF"/>
        <bgColor rgb="FFF2F2F2"/>
      </patternFill>
    </fill>
    <fill>
      <patternFill patternType="solid">
        <fgColor rgb="FFDDEBF7"/>
        <bgColor rgb="FFE9EEF6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EDEDED"/>
        <bgColor rgb="FFE9EEF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2" fillId="8" borderId="1" xfId="0" applyFont="1" applyFill="1" applyBorder="1" applyAlignment="1">
      <alignment horizontal="left" vertical="top"/>
    </xf>
    <xf numFmtId="0" fontId="12" fillId="11" borderId="1" xfId="0" applyFont="1" applyFill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164" fontId="10" fillId="4" borderId="1" xfId="0" applyNumberFormat="1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6" fillId="2" borderId="1" xfId="0" applyFont="1" applyFill="1" applyBorder="1"/>
    <xf numFmtId="0" fontId="8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11" fillId="4" borderId="1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5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1" fontId="10" fillId="4" borderId="1" xfId="0" applyNumberFormat="1" applyFont="1" applyFill="1" applyBorder="1" applyAlignment="1">
      <alignment horizontal="center" vertical="top" wrapText="1"/>
    </xf>
    <xf numFmtId="2" fontId="10" fillId="4" borderId="1" xfId="0" applyNumberFormat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top"/>
    </xf>
    <xf numFmtId="0" fontId="4" fillId="5" borderId="1" xfId="0" applyFont="1" applyFill="1" applyBorder="1" applyAlignment="1">
      <alignment horizontal="center" vertical="top" wrapText="1"/>
    </xf>
    <xf numFmtId="0" fontId="12" fillId="6" borderId="1" xfId="0" applyFont="1" applyFill="1" applyBorder="1" applyAlignment="1">
      <alignment horizontal="left" vertical="top" wrapText="1"/>
    </xf>
    <xf numFmtId="0" fontId="15" fillId="6" borderId="1" xfId="0" applyFont="1" applyFill="1" applyBorder="1" applyAlignment="1">
      <alignment horizontal="left" vertical="top" wrapText="1"/>
    </xf>
    <xf numFmtId="0" fontId="16" fillId="0" borderId="0" xfId="0" applyFont="1"/>
    <xf numFmtId="0" fontId="11" fillId="0" borderId="1" xfId="0" applyFont="1" applyBorder="1" applyAlignment="1">
      <alignment horizontal="center" vertical="top" wrapText="1"/>
    </xf>
    <xf numFmtId="0" fontId="11" fillId="4" borderId="1" xfId="0" applyFont="1" applyFill="1" applyBorder="1" applyAlignment="1">
      <alignment horizontal="center" vertical="top" wrapText="1"/>
    </xf>
    <xf numFmtId="0" fontId="11" fillId="5" borderId="1" xfId="0" applyFont="1" applyFill="1" applyBorder="1" applyAlignment="1">
      <alignment horizontal="left" vertical="top" wrapText="1"/>
    </xf>
    <xf numFmtId="164" fontId="11" fillId="4" borderId="1" xfId="0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top" wrapText="1"/>
    </xf>
    <xf numFmtId="164" fontId="10" fillId="4" borderId="1" xfId="0" applyNumberFormat="1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left" vertical="top" wrapText="1"/>
    </xf>
    <xf numFmtId="0" fontId="12" fillId="7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left" vertical="top" wrapText="1"/>
    </xf>
    <xf numFmtId="0" fontId="15" fillId="7" borderId="1" xfId="0" applyFont="1" applyFill="1" applyBorder="1" applyAlignment="1">
      <alignment horizontal="left" vertical="top" wrapText="1"/>
    </xf>
    <xf numFmtId="1" fontId="7" fillId="5" borderId="1" xfId="0" applyNumberFormat="1" applyFont="1" applyFill="1" applyBorder="1" applyAlignment="1">
      <alignment horizontal="center" vertical="top" wrapText="1"/>
    </xf>
    <xf numFmtId="0" fontId="17" fillId="2" borderId="1" xfId="0" applyFont="1" applyFill="1" applyBorder="1"/>
    <xf numFmtId="0" fontId="18" fillId="2" borderId="1" xfId="0" applyFont="1" applyFill="1" applyBorder="1" applyAlignment="1">
      <alignment horizontal="left" vertical="top"/>
    </xf>
    <xf numFmtId="1" fontId="4" fillId="4" borderId="1" xfId="0" applyNumberFormat="1" applyFont="1" applyFill="1" applyBorder="1" applyAlignment="1">
      <alignment horizontal="center" vertical="top" wrapText="1"/>
    </xf>
    <xf numFmtId="165" fontId="7" fillId="5" borderId="1" xfId="0" applyNumberFormat="1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 wrapText="1"/>
    </xf>
    <xf numFmtId="0" fontId="7" fillId="10" borderId="1" xfId="0" applyFont="1" applyFill="1" applyBorder="1" applyAlignment="1">
      <alignment horizontal="left" vertical="top" wrapText="1"/>
    </xf>
    <xf numFmtId="3" fontId="10" fillId="4" borderId="1" xfId="0" applyNumberFormat="1" applyFont="1" applyFill="1" applyBorder="1" applyAlignment="1">
      <alignment horizontal="center" vertical="top" wrapText="1"/>
    </xf>
    <xf numFmtId="166" fontId="10" fillId="4" borderId="1" xfId="0" applyNumberFormat="1" applyFont="1" applyFill="1" applyBorder="1" applyAlignment="1">
      <alignment horizontal="center" vertical="top" wrapText="1"/>
    </xf>
    <xf numFmtId="2" fontId="7" fillId="5" borderId="1" xfId="0" applyNumberFormat="1" applyFont="1" applyFill="1" applyBorder="1" applyAlignment="1">
      <alignment horizontal="center" vertical="top" wrapText="1"/>
    </xf>
    <xf numFmtId="167" fontId="11" fillId="4" borderId="1" xfId="0" applyNumberFormat="1" applyFont="1" applyFill="1" applyBorder="1" applyAlignment="1">
      <alignment horizontal="center" vertical="top" wrapText="1"/>
    </xf>
    <xf numFmtId="167" fontId="11" fillId="5" borderId="1" xfId="0" applyNumberFormat="1" applyFont="1" applyFill="1" applyBorder="1" applyAlignment="1">
      <alignment horizontal="center" vertical="top" wrapText="1"/>
    </xf>
    <xf numFmtId="9" fontId="11" fillId="5" borderId="1" xfId="0" applyNumberFormat="1" applyFont="1" applyFill="1" applyBorder="1" applyAlignment="1">
      <alignment horizontal="center" vertical="top" wrapText="1"/>
    </xf>
    <xf numFmtId="166" fontId="11" fillId="5" borderId="1" xfId="0" applyNumberFormat="1" applyFont="1" applyFill="1" applyBorder="1" applyAlignment="1">
      <alignment horizontal="center" vertical="top" wrapText="1"/>
    </xf>
    <xf numFmtId="0" fontId="11" fillId="5" borderId="1" xfId="0" applyFont="1" applyFill="1" applyBorder="1" applyAlignment="1">
      <alignment horizontal="center" vertical="top" wrapText="1"/>
    </xf>
    <xf numFmtId="168" fontId="11" fillId="4" borderId="1" xfId="0" applyNumberFormat="1" applyFont="1" applyFill="1" applyBorder="1" applyAlignment="1">
      <alignment horizontal="right" vertical="top" wrapText="1"/>
    </xf>
    <xf numFmtId="168" fontId="11" fillId="5" borderId="1" xfId="0" applyNumberFormat="1" applyFont="1" applyFill="1" applyBorder="1" applyAlignment="1">
      <alignment horizontal="right" vertical="top" wrapText="1"/>
    </xf>
    <xf numFmtId="167" fontId="10" fillId="4" borderId="1" xfId="0" applyNumberFormat="1" applyFont="1" applyFill="1" applyBorder="1" applyAlignment="1">
      <alignment horizontal="center" vertical="top" wrapText="1"/>
    </xf>
    <xf numFmtId="167" fontId="7" fillId="5" borderId="1" xfId="0" applyNumberFormat="1" applyFont="1" applyFill="1" applyBorder="1" applyAlignment="1">
      <alignment horizontal="center" vertical="top" wrapText="1"/>
    </xf>
    <xf numFmtId="9" fontId="7" fillId="5" borderId="1" xfId="0" applyNumberFormat="1" applyFont="1" applyFill="1" applyBorder="1" applyAlignment="1">
      <alignment horizontal="center" vertical="top" wrapText="1"/>
    </xf>
    <xf numFmtId="166" fontId="7" fillId="5" borderId="1" xfId="0" applyNumberFormat="1" applyFont="1" applyFill="1" applyBorder="1" applyAlignment="1">
      <alignment horizontal="center" vertical="top" wrapText="1"/>
    </xf>
    <xf numFmtId="168" fontId="10" fillId="4" borderId="1" xfId="0" applyNumberFormat="1" applyFont="1" applyFill="1" applyBorder="1" applyAlignment="1">
      <alignment horizontal="right" vertical="top" wrapText="1"/>
    </xf>
    <xf numFmtId="168" fontId="7" fillId="5" borderId="1" xfId="0" applyNumberFormat="1" applyFont="1" applyFill="1" applyBorder="1" applyAlignment="1">
      <alignment horizontal="right" vertical="top" wrapText="1"/>
    </xf>
    <xf numFmtId="167" fontId="12" fillId="5" borderId="1" xfId="0" applyNumberFormat="1" applyFont="1" applyFill="1" applyBorder="1" applyAlignment="1">
      <alignment horizontal="center" vertical="top" wrapText="1"/>
    </xf>
    <xf numFmtId="9" fontId="12" fillId="5" borderId="1" xfId="0" applyNumberFormat="1" applyFont="1" applyFill="1" applyBorder="1" applyAlignment="1">
      <alignment horizontal="center" vertical="top" wrapText="1"/>
    </xf>
    <xf numFmtId="3" fontId="12" fillId="5" borderId="1" xfId="0" applyNumberFormat="1" applyFont="1" applyFill="1" applyBorder="1" applyAlignment="1">
      <alignment horizontal="center" vertical="top" wrapText="1"/>
    </xf>
    <xf numFmtId="1" fontId="12" fillId="5" borderId="1" xfId="0" applyNumberFormat="1" applyFont="1" applyFill="1" applyBorder="1" applyAlignment="1">
      <alignment horizontal="center" vertical="top" wrapText="1"/>
    </xf>
    <xf numFmtId="166" fontId="12" fillId="5" borderId="1" xfId="0" applyNumberFormat="1" applyFont="1" applyFill="1" applyBorder="1" applyAlignment="1">
      <alignment horizontal="center" vertical="top" wrapText="1"/>
    </xf>
    <xf numFmtId="168" fontId="12" fillId="5" borderId="1" xfId="0" applyNumberFormat="1" applyFont="1" applyFill="1" applyBorder="1" applyAlignment="1">
      <alignment horizontal="right" vertical="top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top" wrapText="1"/>
    </xf>
    <xf numFmtId="3" fontId="11" fillId="4" borderId="1" xfId="0" applyNumberFormat="1" applyFont="1" applyFill="1" applyBorder="1" applyAlignment="1">
      <alignment horizontal="center" vertical="top" wrapText="1"/>
    </xf>
    <xf numFmtId="3" fontId="11" fillId="5" borderId="1" xfId="0" applyNumberFormat="1" applyFont="1" applyFill="1" applyBorder="1" applyAlignment="1">
      <alignment horizontal="center" vertical="top" wrapText="1"/>
    </xf>
    <xf numFmtId="3" fontId="7" fillId="5" borderId="1" xfId="0" applyNumberFormat="1" applyFont="1" applyFill="1" applyBorder="1" applyAlignment="1">
      <alignment horizontal="center" vertical="top" wrapText="1"/>
    </xf>
    <xf numFmtId="169" fontId="11" fillId="5" borderId="1" xfId="0" applyNumberFormat="1" applyFont="1" applyFill="1" applyBorder="1" applyAlignment="1">
      <alignment horizontal="center" vertical="top" wrapText="1"/>
    </xf>
    <xf numFmtId="169" fontId="7" fillId="5" borderId="1" xfId="0" applyNumberFormat="1" applyFont="1" applyFill="1" applyBorder="1" applyAlignment="1">
      <alignment horizontal="center" vertical="top" wrapText="1"/>
    </xf>
    <xf numFmtId="9" fontId="11" fillId="4" borderId="1" xfId="0" applyNumberFormat="1" applyFont="1" applyFill="1" applyBorder="1" applyAlignment="1">
      <alignment horizontal="center" vertical="top" wrapText="1"/>
    </xf>
    <xf numFmtId="9" fontId="10" fillId="4" borderId="1" xfId="0" applyNumberFormat="1" applyFont="1" applyFill="1" applyBorder="1" applyAlignment="1">
      <alignment horizontal="center" vertical="top" wrapText="1"/>
    </xf>
    <xf numFmtId="169" fontId="12" fillId="5" borderId="1" xfId="0" applyNumberFormat="1" applyFont="1" applyFill="1" applyBorder="1" applyAlignment="1">
      <alignment horizontal="center" vertical="top" wrapText="1"/>
    </xf>
    <xf numFmtId="167" fontId="12" fillId="5" borderId="1" xfId="0" applyNumberFormat="1" applyFont="1" applyFill="1" applyBorder="1" applyAlignment="1">
      <alignment horizontal="right" vertical="top" wrapText="1"/>
    </xf>
    <xf numFmtId="169" fontId="7" fillId="5" borderId="1" xfId="0" applyNumberFormat="1" applyFont="1" applyFill="1" applyBorder="1" applyAlignment="1">
      <alignment horizontal="right" vertical="top" wrapText="1"/>
    </xf>
    <xf numFmtId="0" fontId="20" fillId="0" borderId="0" xfId="0" applyFont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166" fontId="21" fillId="5" borderId="1" xfId="0" applyNumberFormat="1" applyFont="1" applyFill="1" applyBorder="1" applyAlignment="1">
      <alignment horizontal="center" vertical="top" wrapText="1"/>
    </xf>
    <xf numFmtId="170" fontId="7" fillId="5" borderId="1" xfId="0" applyNumberFormat="1" applyFont="1" applyFill="1" applyBorder="1" applyAlignment="1">
      <alignment horizontal="center" vertical="top" wrapText="1"/>
    </xf>
    <xf numFmtId="170" fontId="12" fillId="5" borderId="1" xfId="0" applyNumberFormat="1" applyFont="1" applyFill="1" applyBorder="1" applyAlignment="1">
      <alignment horizontal="center" vertical="top" wrapText="1"/>
    </xf>
    <xf numFmtId="0" fontId="21" fillId="5" borderId="1" xfId="0" applyFont="1" applyFill="1" applyBorder="1" applyAlignment="1">
      <alignment horizontal="center" vertical="top" wrapText="1"/>
    </xf>
    <xf numFmtId="9" fontId="21" fillId="5" borderId="1" xfId="0" applyNumberFormat="1" applyFont="1" applyFill="1" applyBorder="1" applyAlignment="1">
      <alignment horizontal="center" vertical="top" wrapText="1"/>
    </xf>
    <xf numFmtId="0" fontId="22" fillId="0" borderId="0" xfId="0" applyFont="1" applyAlignment="1">
      <alignment horizontal="left" vertical="top"/>
    </xf>
    <xf numFmtId="1" fontId="21" fillId="5" borderId="1" xfId="0" applyNumberFormat="1" applyFont="1" applyFill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/>
    </xf>
    <xf numFmtId="0" fontId="12" fillId="5" borderId="1" xfId="0" applyFont="1" applyFill="1" applyBorder="1" applyAlignment="1">
      <alignment horizontal="center" vertical="top" wrapText="1"/>
    </xf>
    <xf numFmtId="166" fontId="4" fillId="5" borderId="1" xfId="0" applyNumberFormat="1" applyFont="1" applyFill="1" applyBorder="1" applyAlignment="1">
      <alignment horizontal="center" vertical="top" wrapText="1"/>
    </xf>
    <xf numFmtId="0" fontId="12" fillId="12" borderId="1" xfId="0" applyFont="1" applyFill="1" applyBorder="1" applyAlignment="1">
      <alignment horizontal="left" vertical="top"/>
    </xf>
    <xf numFmtId="0" fontId="12" fillId="13" borderId="1" xfId="0" applyFont="1" applyFill="1" applyBorder="1" applyAlignment="1">
      <alignment horizontal="left" vertical="top"/>
    </xf>
    <xf numFmtId="0" fontId="11" fillId="0" borderId="0" xfId="0" applyFont="1" applyAlignment="1">
      <alignment horizontal="left" vertical="top" wrapText="1"/>
    </xf>
  </cellXfs>
  <cellStyles count="1">
    <cellStyle name="Normal" xfId="0" builtinId="0"/>
  </cellStyles>
  <dxfs count="69">
    <dxf>
      <font>
        <color rgb="FF595959"/>
        <name val="Arial"/>
        <charset val="1"/>
      </font>
      <fill>
        <patternFill>
          <bgColor rgb="FFEDEDED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1F3864"/>
        <name val="Arial"/>
        <charset val="1"/>
      </font>
      <fill>
        <patternFill>
          <bgColor rgb="FFDDEBF7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FFFFFF"/>
        <name val="Arial"/>
        <charset val="1"/>
      </font>
      <fill>
        <patternFill>
          <bgColor rgb="FFC00000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FFFFFF"/>
        <name val="Arial"/>
        <charset val="1"/>
      </font>
      <fill>
        <patternFill>
          <bgColor rgb="FFC00000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1F3864"/>
        <name val="Arial"/>
        <charset val="1"/>
      </font>
      <fill>
        <patternFill>
          <bgColor rgb="FFDDEBF7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FFFFFF"/>
        <name val="Arial"/>
        <charset val="1"/>
      </font>
      <fill>
        <patternFill>
          <bgColor rgb="FFC00000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595959"/>
        <name val="Arial"/>
        <charset val="1"/>
      </font>
      <fill>
        <patternFill>
          <bgColor rgb="FFEDEDED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833C0B"/>
        <name val="Arial"/>
        <charset val="1"/>
      </font>
      <fill>
        <patternFill>
          <bgColor rgb="FFF8CBAD"/>
        </patternFill>
      </fill>
    </dxf>
    <dxf>
      <font>
        <b/>
        <color rgb="FF1F3864"/>
        <name val="Arial"/>
        <charset val="1"/>
      </font>
      <fill>
        <patternFill>
          <bgColor rgb="FFBDD7EE"/>
        </patternFill>
      </fill>
    </dxf>
    <dxf>
      <font>
        <b/>
        <color rgb="FFFFFFFF"/>
        <name val="Arial"/>
        <charset val="1"/>
      </font>
      <fill>
        <patternFill>
          <bgColor rgb="FF1F3864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595959"/>
        <name val="Arial"/>
        <charset val="1"/>
      </font>
      <fill>
        <patternFill>
          <bgColor rgb="FFEDEDED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1F3864"/>
        <name val="Arial"/>
        <charset val="1"/>
      </font>
      <fill>
        <patternFill>
          <bgColor rgb="FFDDEBF7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595959"/>
        <name val="Arial"/>
        <charset val="1"/>
      </font>
      <fill>
        <patternFill>
          <bgColor rgb="FFEDEDED"/>
        </patternFill>
      </fill>
    </dxf>
    <dxf>
      <font>
        <color rgb="FF1F3864"/>
        <name val="Arial"/>
        <charset val="1"/>
      </font>
      <fill>
        <patternFill>
          <bgColor rgb="FFDDEBF7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595959"/>
        <name val="Arial"/>
        <charset val="1"/>
      </font>
      <fill>
        <patternFill>
          <bgColor rgb="FFEDEDED"/>
        </patternFill>
      </fill>
    </dxf>
    <dxf>
      <font>
        <color rgb="FF1F3864"/>
        <name val="Arial"/>
        <charset val="1"/>
      </font>
      <fill>
        <patternFill>
          <bgColor rgb="FFDDEBF7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E2EFDA"/>
      <rgbColor rgb="FFFF00FF"/>
      <rgbColor rgb="FF00FFFF"/>
      <rgbColor rgb="FF9C0006"/>
      <rgbColor rgb="FF008000"/>
      <rgbColor rgb="FF000080"/>
      <rgbColor rgb="FF548235"/>
      <rgbColor rgb="FF800080"/>
      <rgbColor rgb="FF1B6E7E"/>
      <rgbColor rgb="FFBFBFBF"/>
      <rgbColor rgb="FF808080"/>
      <rgbColor rgb="FF7F7F7F"/>
      <rgbColor rgb="FF9C5700"/>
      <rgbColor rgb="FFFFF2CC"/>
      <rgbColor rgb="FFDDEBF7"/>
      <rgbColor rgb="FF660066"/>
      <rgbColor rgb="FFFF6B6B"/>
      <rgbColor rgb="FF0563C1"/>
      <rgbColor rgb="FFBDD7EE"/>
      <rgbColor rgb="FF000080"/>
      <rgbColor rgb="FFFF00FF"/>
      <rgbColor rgb="FFEDEDED"/>
      <rgbColor rgb="FF00FFFF"/>
      <rgbColor rgb="FF800080"/>
      <rgbColor rgb="FF800000"/>
      <rgbColor rgb="FF008080"/>
      <rgbColor rgb="FF0000FF"/>
      <rgbColor rgb="FF00CCFF"/>
      <rgbColor rgb="FFE9EEF6"/>
      <rgbColor rgb="FFC6EFCE"/>
      <rgbColor rgb="FFFFEB9C"/>
      <rgbColor rgb="FFD9D9D9"/>
      <rgbColor rgb="FFFFC7CE"/>
      <rgbColor rgb="FFFCE4D6"/>
      <rgbColor rgb="FFF8CBAD"/>
      <rgbColor rgb="FF2E75B6"/>
      <rgbColor rgb="FF33CCCC"/>
      <rgbColor rgb="FFF2F2F2"/>
      <rgbColor rgb="FFFFC000"/>
      <rgbColor rgb="FFFF9900"/>
      <rgbColor rgb="FFC55A11"/>
      <rgbColor rgb="FF595959"/>
      <rgbColor rgb="FF878787"/>
      <rgbColor rgb="FF1F3864"/>
      <rgbColor rgb="FF70AD47"/>
      <rgbColor rgb="FF006100"/>
      <rgbColor rgb="FF333300"/>
      <rgbColor rgb="FF833C0B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Current vs target maturity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Dashboard!$H$16</c:f>
              <c:strCache>
                <c:ptCount val="1"/>
                <c:pt idx="0">
                  <c:v>Avg current</c:v>
                </c:pt>
              </c:strCache>
            </c:strRef>
          </c:tx>
          <c:spPr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Dashboard!$D$17:$D$33</c:f>
              <c:strCache>
                <c:ptCount val="17"/>
                <c:pt idx="0">
                  <c:v>Strategy</c:v>
                </c:pt>
                <c:pt idx="1">
                  <c:v>Customers &amp; Channels</c:v>
                </c:pt>
                <c:pt idx="2">
                  <c:v>Products &amp; Services</c:v>
                </c:pt>
                <c:pt idx="3">
                  <c:v>Processes</c:v>
                </c:pt>
                <c:pt idx="4">
                  <c:v>Capabilities</c:v>
                </c:pt>
                <c:pt idx="5">
                  <c:v>Structure</c:v>
                </c:pt>
                <c:pt idx="6">
                  <c:v>Governance</c:v>
                </c:pt>
                <c:pt idx="7">
                  <c:v>People</c:v>
                </c:pt>
                <c:pt idx="8">
                  <c:v>Culture</c:v>
                </c:pt>
                <c:pt idx="9">
                  <c:v>Performance</c:v>
                </c:pt>
                <c:pt idx="10">
                  <c:v>Technology</c:v>
                </c:pt>
                <c:pt idx="11">
                  <c:v>Data</c:v>
                </c:pt>
                <c:pt idx="12">
                  <c:v>Suppliers</c:v>
                </c:pt>
                <c:pt idx="13">
                  <c:v>Locations</c:v>
                </c:pt>
                <c:pt idx="14">
                  <c:v>Risk &amp; Compliance</c:v>
                </c:pt>
                <c:pt idx="15">
                  <c:v>Finance</c:v>
                </c:pt>
                <c:pt idx="16">
                  <c:v>Change</c:v>
                </c:pt>
              </c:strCache>
            </c:strRef>
          </c:cat>
          <c:val>
            <c:numRef>
              <c:f>Dashboard!$H$17:$H$33</c:f>
              <c:numCache>
                <c:formatCode>0.0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4B-784E-887B-142CC2709A25}"/>
            </c:ext>
          </c:extLst>
        </c:ser>
        <c:ser>
          <c:idx val="1"/>
          <c:order val="1"/>
          <c:tx>
            <c:strRef>
              <c:f>Dashboard!$I$16</c:f>
              <c:strCache>
                <c:ptCount val="1"/>
                <c:pt idx="0">
                  <c:v>Avg target</c:v>
                </c:pt>
              </c:strCache>
            </c:strRef>
          </c:tx>
          <c:spPr>
            <a:ln w="21960">
              <a:solidFill>
                <a:srgbClr val="1F3864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Dashboard!$D$17:$D$33</c:f>
              <c:strCache>
                <c:ptCount val="17"/>
                <c:pt idx="0">
                  <c:v>Strategy</c:v>
                </c:pt>
                <c:pt idx="1">
                  <c:v>Customers &amp; Channels</c:v>
                </c:pt>
                <c:pt idx="2">
                  <c:v>Products &amp; Services</c:v>
                </c:pt>
                <c:pt idx="3">
                  <c:v>Processes</c:v>
                </c:pt>
                <c:pt idx="4">
                  <c:v>Capabilities</c:v>
                </c:pt>
                <c:pt idx="5">
                  <c:v>Structure</c:v>
                </c:pt>
                <c:pt idx="6">
                  <c:v>Governance</c:v>
                </c:pt>
                <c:pt idx="7">
                  <c:v>People</c:v>
                </c:pt>
                <c:pt idx="8">
                  <c:v>Culture</c:v>
                </c:pt>
                <c:pt idx="9">
                  <c:v>Performance</c:v>
                </c:pt>
                <c:pt idx="10">
                  <c:v>Technology</c:v>
                </c:pt>
                <c:pt idx="11">
                  <c:v>Data</c:v>
                </c:pt>
                <c:pt idx="12">
                  <c:v>Suppliers</c:v>
                </c:pt>
                <c:pt idx="13">
                  <c:v>Locations</c:v>
                </c:pt>
                <c:pt idx="14">
                  <c:v>Risk &amp; Compliance</c:v>
                </c:pt>
                <c:pt idx="15">
                  <c:v>Finance</c:v>
                </c:pt>
                <c:pt idx="16">
                  <c:v>Change</c:v>
                </c:pt>
              </c:strCache>
            </c:strRef>
          </c:cat>
          <c:val>
            <c:numRef>
              <c:f>Dashboard!$I$17:$I$33</c:f>
              <c:numCache>
                <c:formatCode>0.0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4B-784E-887B-142CC2709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65311"/>
        <c:axId val="76768474"/>
      </c:radarChart>
      <c:catAx>
        <c:axId val="3376531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768474"/>
        <c:crosses val="autoZero"/>
        <c:auto val="1"/>
        <c:lblAlgn val="ctr"/>
        <c:lblOffset val="100"/>
        <c:noMultiLvlLbl val="0"/>
      </c:catAx>
      <c:valAx>
        <c:axId val="76768474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765311"/>
        <c:crosses val="autoZero"/>
        <c:crossBetween val="midCat"/>
        <c:majorUnit val="1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Average maturity gap by dimension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Dashboard!$J$16</c:f>
              <c:strCache>
                <c:ptCount val="1"/>
                <c:pt idx="0">
                  <c:v>Avg gap</c:v>
                </c:pt>
              </c:strCache>
            </c:strRef>
          </c:tx>
          <c:spPr>
            <a:solidFill>
              <a:srgbClr val="C55A11"/>
            </a:solidFill>
            <a:ln w="9360">
              <a:solidFill>
                <a:srgbClr val="C55A1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Dashboard!$D$17:$D$33</c:f>
              <c:strCache>
                <c:ptCount val="17"/>
                <c:pt idx="0">
                  <c:v>Strategy</c:v>
                </c:pt>
                <c:pt idx="1">
                  <c:v>Customers &amp; Channels</c:v>
                </c:pt>
                <c:pt idx="2">
                  <c:v>Products &amp; Services</c:v>
                </c:pt>
                <c:pt idx="3">
                  <c:v>Processes</c:v>
                </c:pt>
                <c:pt idx="4">
                  <c:v>Capabilities</c:v>
                </c:pt>
                <c:pt idx="5">
                  <c:v>Structure</c:v>
                </c:pt>
                <c:pt idx="6">
                  <c:v>Governance</c:v>
                </c:pt>
                <c:pt idx="7">
                  <c:v>People</c:v>
                </c:pt>
                <c:pt idx="8">
                  <c:v>Culture</c:v>
                </c:pt>
                <c:pt idx="9">
                  <c:v>Performance</c:v>
                </c:pt>
                <c:pt idx="10">
                  <c:v>Technology</c:v>
                </c:pt>
                <c:pt idx="11">
                  <c:v>Data</c:v>
                </c:pt>
                <c:pt idx="12">
                  <c:v>Suppliers</c:v>
                </c:pt>
                <c:pt idx="13">
                  <c:v>Locations</c:v>
                </c:pt>
                <c:pt idx="14">
                  <c:v>Risk &amp; Compliance</c:v>
                </c:pt>
                <c:pt idx="15">
                  <c:v>Finance</c:v>
                </c:pt>
                <c:pt idx="16">
                  <c:v>Change</c:v>
                </c:pt>
              </c:strCache>
            </c:strRef>
          </c:cat>
          <c:val>
            <c:numRef>
              <c:f>Dashboard!$J$17:$J$33</c:f>
              <c:numCache>
                <c:formatCode>0.0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4-1D4C-8434-0D2FD8E70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8994339"/>
        <c:axId val="67854899"/>
      </c:barChart>
      <c:catAx>
        <c:axId val="1899433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854899"/>
        <c:crosses val="autoZero"/>
        <c:auto val="1"/>
        <c:lblAlgn val="ctr"/>
        <c:lblOffset val="100"/>
        <c:noMultiLvlLbl val="0"/>
      </c:catAx>
      <c:valAx>
        <c:axId val="67854899"/>
        <c:scaling>
          <c:orientation val="minMax"/>
          <c:min val="0"/>
        </c:scaling>
        <c:delete val="0"/>
        <c:axPos val="b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994339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Findings by dimension and severity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Dashboard!$M$16</c:f>
              <c:strCache>
                <c:ptCount val="1"/>
                <c:pt idx="0">
                  <c:v>Critical</c:v>
                </c:pt>
              </c:strCache>
            </c:strRef>
          </c:tx>
          <c:spPr>
            <a:solidFill>
              <a:srgbClr val="C00000"/>
            </a:solidFill>
            <a:ln w="0">
              <a:solidFill>
                <a:srgbClr val="C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Dashboard!$D$17:$D$33</c:f>
              <c:strCache>
                <c:ptCount val="17"/>
                <c:pt idx="0">
                  <c:v>Strategy</c:v>
                </c:pt>
                <c:pt idx="1">
                  <c:v>Customers &amp; Channels</c:v>
                </c:pt>
                <c:pt idx="2">
                  <c:v>Products &amp; Services</c:v>
                </c:pt>
                <c:pt idx="3">
                  <c:v>Processes</c:v>
                </c:pt>
                <c:pt idx="4">
                  <c:v>Capabilities</c:v>
                </c:pt>
                <c:pt idx="5">
                  <c:v>Structure</c:v>
                </c:pt>
                <c:pt idx="6">
                  <c:v>Governance</c:v>
                </c:pt>
                <c:pt idx="7">
                  <c:v>People</c:v>
                </c:pt>
                <c:pt idx="8">
                  <c:v>Culture</c:v>
                </c:pt>
                <c:pt idx="9">
                  <c:v>Performance</c:v>
                </c:pt>
                <c:pt idx="10">
                  <c:v>Technology</c:v>
                </c:pt>
                <c:pt idx="11">
                  <c:v>Data</c:v>
                </c:pt>
                <c:pt idx="12">
                  <c:v>Suppliers</c:v>
                </c:pt>
                <c:pt idx="13">
                  <c:v>Locations</c:v>
                </c:pt>
                <c:pt idx="14">
                  <c:v>Risk &amp; Compliance</c:v>
                </c:pt>
                <c:pt idx="15">
                  <c:v>Finance</c:v>
                </c:pt>
                <c:pt idx="16">
                  <c:v>Change</c:v>
                </c:pt>
              </c:strCache>
            </c:strRef>
          </c:cat>
          <c:val>
            <c:numRef>
              <c:f>Dashboard!$M$17:$M$33</c:f>
              <c:numCache>
                <c:formatCode>0;\-0;\-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CB-CC42-9C27-6CA3DE1E5C6D}"/>
            </c:ext>
          </c:extLst>
        </c:ser>
        <c:ser>
          <c:idx val="1"/>
          <c:order val="1"/>
          <c:tx>
            <c:strRef>
              <c:f>Dashboard!$N$16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FF6B6B"/>
            </a:solidFill>
            <a:ln w="0">
              <a:solidFill>
                <a:srgbClr val="FF6B6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Dashboard!$D$17:$D$33</c:f>
              <c:strCache>
                <c:ptCount val="17"/>
                <c:pt idx="0">
                  <c:v>Strategy</c:v>
                </c:pt>
                <c:pt idx="1">
                  <c:v>Customers &amp; Channels</c:v>
                </c:pt>
                <c:pt idx="2">
                  <c:v>Products &amp; Services</c:v>
                </c:pt>
                <c:pt idx="3">
                  <c:v>Processes</c:v>
                </c:pt>
                <c:pt idx="4">
                  <c:v>Capabilities</c:v>
                </c:pt>
                <c:pt idx="5">
                  <c:v>Structure</c:v>
                </c:pt>
                <c:pt idx="6">
                  <c:v>Governance</c:v>
                </c:pt>
                <c:pt idx="7">
                  <c:v>People</c:v>
                </c:pt>
                <c:pt idx="8">
                  <c:v>Culture</c:v>
                </c:pt>
                <c:pt idx="9">
                  <c:v>Performance</c:v>
                </c:pt>
                <c:pt idx="10">
                  <c:v>Technology</c:v>
                </c:pt>
                <c:pt idx="11">
                  <c:v>Data</c:v>
                </c:pt>
                <c:pt idx="12">
                  <c:v>Suppliers</c:v>
                </c:pt>
                <c:pt idx="13">
                  <c:v>Locations</c:v>
                </c:pt>
                <c:pt idx="14">
                  <c:v>Risk &amp; Compliance</c:v>
                </c:pt>
                <c:pt idx="15">
                  <c:v>Finance</c:v>
                </c:pt>
                <c:pt idx="16">
                  <c:v>Change</c:v>
                </c:pt>
              </c:strCache>
            </c:strRef>
          </c:cat>
          <c:val>
            <c:numRef>
              <c:f>Dashboard!$N$17:$N$33</c:f>
              <c:numCache>
                <c:formatCode>0;\-0;\-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CB-CC42-9C27-6CA3DE1E5C6D}"/>
            </c:ext>
          </c:extLst>
        </c:ser>
        <c:ser>
          <c:idx val="2"/>
          <c:order val="2"/>
          <c:tx>
            <c:strRef>
              <c:f>Dashboard!$O$16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rgbClr val="FFC000"/>
            </a:solidFill>
            <a:ln w="0">
              <a:solidFill>
                <a:srgbClr val="FFC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Dashboard!$D$17:$D$33</c:f>
              <c:strCache>
                <c:ptCount val="17"/>
                <c:pt idx="0">
                  <c:v>Strategy</c:v>
                </c:pt>
                <c:pt idx="1">
                  <c:v>Customers &amp; Channels</c:v>
                </c:pt>
                <c:pt idx="2">
                  <c:v>Products &amp; Services</c:v>
                </c:pt>
                <c:pt idx="3">
                  <c:v>Processes</c:v>
                </c:pt>
                <c:pt idx="4">
                  <c:v>Capabilities</c:v>
                </c:pt>
                <c:pt idx="5">
                  <c:v>Structure</c:v>
                </c:pt>
                <c:pt idx="6">
                  <c:v>Governance</c:v>
                </c:pt>
                <c:pt idx="7">
                  <c:v>People</c:v>
                </c:pt>
                <c:pt idx="8">
                  <c:v>Culture</c:v>
                </c:pt>
                <c:pt idx="9">
                  <c:v>Performance</c:v>
                </c:pt>
                <c:pt idx="10">
                  <c:v>Technology</c:v>
                </c:pt>
                <c:pt idx="11">
                  <c:v>Data</c:v>
                </c:pt>
                <c:pt idx="12">
                  <c:v>Suppliers</c:v>
                </c:pt>
                <c:pt idx="13">
                  <c:v>Locations</c:v>
                </c:pt>
                <c:pt idx="14">
                  <c:v>Risk &amp; Compliance</c:v>
                </c:pt>
                <c:pt idx="15">
                  <c:v>Finance</c:v>
                </c:pt>
                <c:pt idx="16">
                  <c:v>Change</c:v>
                </c:pt>
              </c:strCache>
            </c:strRef>
          </c:cat>
          <c:val>
            <c:numRef>
              <c:f>Dashboard!$O$17:$O$33</c:f>
              <c:numCache>
                <c:formatCode>0;\-0;\-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CB-CC42-9C27-6CA3DE1E5C6D}"/>
            </c:ext>
          </c:extLst>
        </c:ser>
        <c:ser>
          <c:idx val="3"/>
          <c:order val="3"/>
          <c:tx>
            <c:strRef>
              <c:f>Dashboard!$P$16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70AD47"/>
            </a:solidFill>
            <a:ln w="0">
              <a:solidFill>
                <a:srgbClr val="70AD4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Dashboard!$D$17:$D$33</c:f>
              <c:strCache>
                <c:ptCount val="17"/>
                <c:pt idx="0">
                  <c:v>Strategy</c:v>
                </c:pt>
                <c:pt idx="1">
                  <c:v>Customers &amp; Channels</c:v>
                </c:pt>
                <c:pt idx="2">
                  <c:v>Products &amp; Services</c:v>
                </c:pt>
                <c:pt idx="3">
                  <c:v>Processes</c:v>
                </c:pt>
                <c:pt idx="4">
                  <c:v>Capabilities</c:v>
                </c:pt>
                <c:pt idx="5">
                  <c:v>Structure</c:v>
                </c:pt>
                <c:pt idx="6">
                  <c:v>Governance</c:v>
                </c:pt>
                <c:pt idx="7">
                  <c:v>People</c:v>
                </c:pt>
                <c:pt idx="8">
                  <c:v>Culture</c:v>
                </c:pt>
                <c:pt idx="9">
                  <c:v>Performance</c:v>
                </c:pt>
                <c:pt idx="10">
                  <c:v>Technology</c:v>
                </c:pt>
                <c:pt idx="11">
                  <c:v>Data</c:v>
                </c:pt>
                <c:pt idx="12">
                  <c:v>Suppliers</c:v>
                </c:pt>
                <c:pt idx="13">
                  <c:v>Locations</c:v>
                </c:pt>
                <c:pt idx="14">
                  <c:v>Risk &amp; Compliance</c:v>
                </c:pt>
                <c:pt idx="15">
                  <c:v>Finance</c:v>
                </c:pt>
                <c:pt idx="16">
                  <c:v>Change</c:v>
                </c:pt>
              </c:strCache>
            </c:strRef>
          </c:cat>
          <c:val>
            <c:numRef>
              <c:f>Dashboard!$P$17:$P$33</c:f>
              <c:numCache>
                <c:formatCode>0;\-0;\-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CB-CC42-9C27-6CA3DE1E5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6004871"/>
        <c:axId val="20494205"/>
      </c:barChart>
      <c:catAx>
        <c:axId val="1600487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494205"/>
        <c:crosses val="autoZero"/>
        <c:auto val="1"/>
        <c:lblAlgn val="ctr"/>
        <c:lblOffset val="100"/>
        <c:noMultiLvlLbl val="0"/>
      </c:catAx>
      <c:valAx>
        <c:axId val="20494205"/>
        <c:scaling>
          <c:orientation val="minMax"/>
        </c:scaling>
        <c:delete val="0"/>
        <c:axPos val="b"/>
        <c:numFmt formatCode="0;\-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004871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4</xdr:col>
      <xdr:colOff>692280</xdr:colOff>
      <xdr:row>57</xdr:row>
      <xdr:rowOff>138960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36</xdr:row>
      <xdr:rowOff>0</xdr:rowOff>
    </xdr:from>
    <xdr:to>
      <xdr:col>14</xdr:col>
      <xdr:colOff>113400</xdr:colOff>
      <xdr:row>57</xdr:row>
      <xdr:rowOff>138960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60</xdr:row>
      <xdr:rowOff>0</xdr:rowOff>
    </xdr:from>
    <xdr:to>
      <xdr:col>4</xdr:col>
      <xdr:colOff>692280</xdr:colOff>
      <xdr:row>81</xdr:row>
      <xdr:rowOff>138960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B2:D56"/>
  <sheetViews>
    <sheetView showGridLines="0" zoomScale="90" zoomScaleNormal="90" workbookViewId="0"/>
  </sheetViews>
  <sheetFormatPr baseColWidth="10" defaultColWidth="8.6640625" defaultRowHeight="13" x14ac:dyDescent="0.15"/>
  <cols>
    <col min="1" max="1" width="3" customWidth="1"/>
    <col min="2" max="2" width="22" customWidth="1"/>
    <col min="3" max="3" width="24" customWidth="1"/>
    <col min="4" max="4" width="70" customWidth="1"/>
    <col min="5" max="5" width="3" customWidth="1"/>
  </cols>
  <sheetData>
    <row r="2" spans="2:4" ht="36" customHeight="1" x14ac:dyDescent="0.15">
      <c r="B2" s="13" t="s">
        <v>0</v>
      </c>
    </row>
    <row r="3" spans="2:4" ht="16" x14ac:dyDescent="0.15">
      <c r="B3" s="14" t="s">
        <v>1</v>
      </c>
    </row>
    <row r="4" spans="2:4" x14ac:dyDescent="0.15">
      <c r="B4" s="15" t="str">
        <f>"Client: "&amp;IF(Engagement!C5="","[enter on the Engagement tab]",Engagement!C5)&amp;"   |   Status: "&amp;Engagement!C14</f>
        <v>Client: [enter on the Engagement tab]   |   Status: Mobilising</v>
      </c>
    </row>
    <row r="6" spans="2:4" ht="19.5" customHeight="1" x14ac:dyDescent="0.2">
      <c r="B6" s="16" t="s">
        <v>2</v>
      </c>
      <c r="C6" s="17"/>
      <c r="D6" s="17"/>
    </row>
    <row r="7" spans="2:4" ht="57.75" customHeight="1" x14ac:dyDescent="0.15">
      <c r="B7" s="12" t="s">
        <v>3</v>
      </c>
      <c r="C7" s="12"/>
      <c r="D7" s="12"/>
    </row>
    <row r="9" spans="2:4" ht="19.5" customHeight="1" x14ac:dyDescent="0.2">
      <c r="B9" s="16" t="s">
        <v>4</v>
      </c>
      <c r="C9" s="17"/>
      <c r="D9" s="17"/>
    </row>
    <row r="10" spans="2:4" ht="30" customHeight="1" x14ac:dyDescent="0.15">
      <c r="B10" s="18" t="s">
        <v>5</v>
      </c>
      <c r="C10" s="11" t="s">
        <v>6</v>
      </c>
      <c r="D10" s="11"/>
    </row>
    <row r="11" spans="2:4" ht="18" customHeight="1" x14ac:dyDescent="0.15">
      <c r="B11" s="18" t="s">
        <v>7</v>
      </c>
      <c r="C11" s="11" t="s">
        <v>8</v>
      </c>
      <c r="D11" s="11"/>
    </row>
    <row r="12" spans="2:4" ht="30" customHeight="1" x14ac:dyDescent="0.15">
      <c r="B12" s="18" t="s">
        <v>9</v>
      </c>
      <c r="C12" s="11" t="s">
        <v>10</v>
      </c>
      <c r="D12" s="11"/>
    </row>
    <row r="13" spans="2:4" ht="30" customHeight="1" x14ac:dyDescent="0.15">
      <c r="B13" s="18" t="s">
        <v>11</v>
      </c>
      <c r="C13" s="11" t="s">
        <v>12</v>
      </c>
      <c r="D13" s="11"/>
    </row>
    <row r="14" spans="2:4" ht="30" customHeight="1" x14ac:dyDescent="0.15">
      <c r="B14" s="18" t="s">
        <v>13</v>
      </c>
      <c r="C14" s="11" t="s">
        <v>14</v>
      </c>
      <c r="D14" s="11"/>
    </row>
    <row r="15" spans="2:4" ht="30" customHeight="1" x14ac:dyDescent="0.15">
      <c r="B15" s="18" t="s">
        <v>15</v>
      </c>
      <c r="C15" s="11" t="s">
        <v>16</v>
      </c>
      <c r="D15" s="11"/>
    </row>
    <row r="16" spans="2:4" ht="30" customHeight="1" x14ac:dyDescent="0.15">
      <c r="B16" s="18" t="s">
        <v>17</v>
      </c>
      <c r="C16" s="11" t="s">
        <v>18</v>
      </c>
      <c r="D16" s="11"/>
    </row>
    <row r="18" spans="2:4" ht="19.5" customHeight="1" x14ac:dyDescent="0.2">
      <c r="B18" s="16" t="s">
        <v>19</v>
      </c>
      <c r="C18" s="17"/>
      <c r="D18" s="17"/>
    </row>
    <row r="19" spans="2:4" ht="19.5" customHeight="1" x14ac:dyDescent="0.15">
      <c r="B19" s="20" t="s">
        <v>20</v>
      </c>
      <c r="C19" s="20" t="s">
        <v>21</v>
      </c>
      <c r="D19" s="20" t="s">
        <v>2</v>
      </c>
    </row>
    <row r="20" spans="2:4" ht="28" x14ac:dyDescent="0.15">
      <c r="B20" s="19" t="s">
        <v>22</v>
      </c>
      <c r="C20" s="21" t="s">
        <v>23</v>
      </c>
      <c r="D20" s="19" t="s">
        <v>24</v>
      </c>
    </row>
    <row r="21" spans="2:4" ht="28" x14ac:dyDescent="0.15">
      <c r="B21" s="19" t="s">
        <v>25</v>
      </c>
      <c r="C21" s="21" t="s">
        <v>26</v>
      </c>
      <c r="D21" s="19" t="s">
        <v>27</v>
      </c>
    </row>
    <row r="22" spans="2:4" ht="14" x14ac:dyDescent="0.15">
      <c r="B22" s="19" t="s">
        <v>25</v>
      </c>
      <c r="C22" s="21" t="s">
        <v>28</v>
      </c>
      <c r="D22" s="19" t="s">
        <v>29</v>
      </c>
    </row>
    <row r="23" spans="2:4" ht="14" x14ac:dyDescent="0.15">
      <c r="B23" s="19" t="s">
        <v>30</v>
      </c>
      <c r="C23" s="21" t="s">
        <v>31</v>
      </c>
      <c r="D23" s="19" t="s">
        <v>32</v>
      </c>
    </row>
    <row r="24" spans="2:4" ht="14" x14ac:dyDescent="0.15">
      <c r="B24" s="19" t="s">
        <v>30</v>
      </c>
      <c r="C24" s="21" t="s">
        <v>33</v>
      </c>
      <c r="D24" s="19" t="s">
        <v>34</v>
      </c>
    </row>
    <row r="25" spans="2:4" ht="14" x14ac:dyDescent="0.15">
      <c r="B25" s="19" t="s">
        <v>30</v>
      </c>
      <c r="C25" s="21" t="s">
        <v>35</v>
      </c>
      <c r="D25" s="19" t="s">
        <v>36</v>
      </c>
    </row>
    <row r="26" spans="2:4" ht="14" x14ac:dyDescent="0.15">
      <c r="B26" s="19" t="s">
        <v>37</v>
      </c>
      <c r="C26" s="21" t="s">
        <v>38</v>
      </c>
      <c r="D26" s="19" t="s">
        <v>39</v>
      </c>
    </row>
    <row r="27" spans="2:4" ht="28" x14ac:dyDescent="0.15">
      <c r="B27" s="19" t="s">
        <v>37</v>
      </c>
      <c r="C27" s="21" t="s">
        <v>40</v>
      </c>
      <c r="D27" s="19" t="s">
        <v>41</v>
      </c>
    </row>
    <row r="28" spans="2:4" ht="14" x14ac:dyDescent="0.15">
      <c r="B28" s="19" t="s">
        <v>37</v>
      </c>
      <c r="C28" s="21" t="s">
        <v>42</v>
      </c>
      <c r="D28" s="19" t="s">
        <v>43</v>
      </c>
    </row>
    <row r="29" spans="2:4" ht="14" x14ac:dyDescent="0.15">
      <c r="B29" s="19" t="s">
        <v>37</v>
      </c>
      <c r="C29" s="21" t="s">
        <v>44</v>
      </c>
      <c r="D29" s="19" t="s">
        <v>45</v>
      </c>
    </row>
    <row r="30" spans="2:4" ht="14" x14ac:dyDescent="0.15">
      <c r="B30" s="19" t="s">
        <v>37</v>
      </c>
      <c r="C30" s="21" t="s">
        <v>46</v>
      </c>
      <c r="D30" s="19" t="s">
        <v>47</v>
      </c>
    </row>
    <row r="31" spans="2:4" ht="14" x14ac:dyDescent="0.15">
      <c r="B31" s="19" t="s">
        <v>37</v>
      </c>
      <c r="C31" s="21" t="s">
        <v>48</v>
      </c>
      <c r="D31" s="19" t="s">
        <v>49</v>
      </c>
    </row>
    <row r="32" spans="2:4" ht="14" x14ac:dyDescent="0.15">
      <c r="B32" s="19" t="s">
        <v>37</v>
      </c>
      <c r="C32" s="21" t="s">
        <v>50</v>
      </c>
      <c r="D32" s="19" t="s">
        <v>51</v>
      </c>
    </row>
    <row r="33" spans="2:4" ht="14" x14ac:dyDescent="0.15">
      <c r="B33" s="19" t="s">
        <v>37</v>
      </c>
      <c r="C33" s="21" t="s">
        <v>52</v>
      </c>
      <c r="D33" s="19" t="s">
        <v>53</v>
      </c>
    </row>
    <row r="34" spans="2:4" ht="14" x14ac:dyDescent="0.15">
      <c r="B34" s="19" t="s">
        <v>37</v>
      </c>
      <c r="C34" s="21" t="s">
        <v>54</v>
      </c>
      <c r="D34" s="19" t="s">
        <v>55</v>
      </c>
    </row>
    <row r="35" spans="2:4" ht="14" x14ac:dyDescent="0.15">
      <c r="B35" s="19" t="s">
        <v>56</v>
      </c>
      <c r="C35" s="21" t="s">
        <v>57</v>
      </c>
      <c r="D35" s="19" t="s">
        <v>58</v>
      </c>
    </row>
    <row r="36" spans="2:4" ht="14" x14ac:dyDescent="0.15">
      <c r="B36" s="19" t="s">
        <v>56</v>
      </c>
      <c r="C36" s="21" t="s">
        <v>59</v>
      </c>
      <c r="D36" s="19" t="s">
        <v>60</v>
      </c>
    </row>
    <row r="37" spans="2:4" ht="14" x14ac:dyDescent="0.15">
      <c r="B37" s="19" t="s">
        <v>61</v>
      </c>
      <c r="C37" s="21" t="s">
        <v>62</v>
      </c>
      <c r="D37" s="19" t="s">
        <v>63</v>
      </c>
    </row>
    <row r="38" spans="2:4" ht="14" x14ac:dyDescent="0.15">
      <c r="B38" s="19" t="s">
        <v>61</v>
      </c>
      <c r="C38" s="21" t="s">
        <v>64</v>
      </c>
      <c r="D38" s="19" t="s">
        <v>65</v>
      </c>
    </row>
    <row r="39" spans="2:4" ht="14" x14ac:dyDescent="0.15">
      <c r="B39" s="19" t="s">
        <v>25</v>
      </c>
      <c r="C39" s="21" t="s">
        <v>66</v>
      </c>
      <c r="D39" s="19" t="s">
        <v>67</v>
      </c>
    </row>
    <row r="41" spans="2:4" ht="19.5" customHeight="1" x14ac:dyDescent="0.2">
      <c r="B41" s="16" t="s">
        <v>68</v>
      </c>
      <c r="C41" s="17"/>
      <c r="D41" s="17"/>
    </row>
    <row r="42" spans="2:4" ht="15" customHeight="1" x14ac:dyDescent="0.15">
      <c r="B42" s="22" t="s">
        <v>69</v>
      </c>
      <c r="C42" s="11" t="s">
        <v>70</v>
      </c>
      <c r="D42" s="11"/>
    </row>
    <row r="43" spans="2:4" ht="15" customHeight="1" x14ac:dyDescent="0.15">
      <c r="B43" s="23" t="s">
        <v>71</v>
      </c>
      <c r="C43" s="11" t="s">
        <v>72</v>
      </c>
      <c r="D43" s="11"/>
    </row>
    <row r="44" spans="2:4" ht="15" customHeight="1" x14ac:dyDescent="0.15">
      <c r="B44" s="24" t="s">
        <v>73</v>
      </c>
      <c r="C44" s="11" t="s">
        <v>74</v>
      </c>
      <c r="D44" s="11"/>
    </row>
    <row r="45" spans="2:4" ht="15" customHeight="1" x14ac:dyDescent="0.15">
      <c r="B45" s="25" t="s">
        <v>75</v>
      </c>
      <c r="C45" s="11" t="s">
        <v>76</v>
      </c>
      <c r="D45" s="11"/>
    </row>
    <row r="46" spans="2:4" ht="15" customHeight="1" x14ac:dyDescent="0.15">
      <c r="B46" s="19" t="s">
        <v>77</v>
      </c>
      <c r="C46" s="11" t="s">
        <v>78</v>
      </c>
      <c r="D46" s="11"/>
    </row>
    <row r="48" spans="2:4" ht="19.5" customHeight="1" x14ac:dyDescent="0.2">
      <c r="B48" s="16" t="s">
        <v>79</v>
      </c>
      <c r="C48" s="17"/>
      <c r="D48" s="17"/>
    </row>
    <row r="49" spans="2:4" ht="27.75" customHeight="1" x14ac:dyDescent="0.15">
      <c r="B49" s="26" t="s">
        <v>80</v>
      </c>
      <c r="C49" s="11" t="s">
        <v>81</v>
      </c>
      <c r="D49" s="11"/>
    </row>
    <row r="50" spans="2:4" ht="27.75" customHeight="1" x14ac:dyDescent="0.15">
      <c r="B50" s="26" t="s">
        <v>82</v>
      </c>
      <c r="C50" s="11" t="s">
        <v>83</v>
      </c>
      <c r="D50" s="11"/>
    </row>
    <row r="51" spans="2:4" ht="27.75" customHeight="1" x14ac:dyDescent="0.15">
      <c r="B51" s="26" t="s">
        <v>84</v>
      </c>
      <c r="C51" s="11" t="s">
        <v>85</v>
      </c>
      <c r="D51" s="11"/>
    </row>
    <row r="52" spans="2:4" ht="27.75" customHeight="1" x14ac:dyDescent="0.15">
      <c r="B52" s="26" t="s">
        <v>86</v>
      </c>
      <c r="C52" s="11" t="s">
        <v>87</v>
      </c>
      <c r="D52" s="11"/>
    </row>
    <row r="53" spans="2:4" ht="18" customHeight="1" x14ac:dyDescent="0.15">
      <c r="B53" s="26" t="s">
        <v>88</v>
      </c>
      <c r="C53" s="11" t="s">
        <v>89</v>
      </c>
      <c r="D53" s="11"/>
    </row>
    <row r="54" spans="2:4" ht="27.75" customHeight="1" x14ac:dyDescent="0.15">
      <c r="B54" s="26" t="s">
        <v>90</v>
      </c>
      <c r="C54" s="11" t="s">
        <v>91</v>
      </c>
      <c r="D54" s="11"/>
    </row>
    <row r="56" spans="2:4" ht="27.75" customHeight="1" x14ac:dyDescent="0.15">
      <c r="B56" s="10" t="s">
        <v>92</v>
      </c>
      <c r="C56" s="10"/>
      <c r="D56" s="10"/>
    </row>
  </sheetData>
  <mergeCells count="20">
    <mergeCell ref="C51:D51"/>
    <mergeCell ref="C52:D52"/>
    <mergeCell ref="C53:D53"/>
    <mergeCell ref="C54:D54"/>
    <mergeCell ref="B56:D56"/>
    <mergeCell ref="C44:D44"/>
    <mergeCell ref="C45:D45"/>
    <mergeCell ref="C46:D46"/>
    <mergeCell ref="C49:D49"/>
    <mergeCell ref="C50:D50"/>
    <mergeCell ref="C14:D14"/>
    <mergeCell ref="C15:D15"/>
    <mergeCell ref="C16:D16"/>
    <mergeCell ref="C42:D42"/>
    <mergeCell ref="C43:D43"/>
    <mergeCell ref="B7:D7"/>
    <mergeCell ref="C10:D10"/>
    <mergeCell ref="C11:D11"/>
    <mergeCell ref="C12:D12"/>
    <mergeCell ref="C13:D13"/>
  </mergeCells>
  <hyperlinks>
    <hyperlink ref="C20" location="'Engagement'!A1" display="Engagement" xr:uid="{00000000-0004-0000-0000-000000000000}"/>
    <hyperlink ref="C21" location="'Framework'!A1" display="Framework" xr:uid="{00000000-0004-0000-0000-000001000000}"/>
    <hyperlink ref="C22" location="'Maturity Model'!A1" display="Maturity Model" xr:uid="{00000000-0004-0000-0000-000002000000}"/>
    <hyperlink ref="C23" location="'Stakeholders'!A1" display="Stakeholders" xr:uid="{00000000-0004-0000-0000-000003000000}"/>
    <hyperlink ref="C24" location="'Interview Guides'!A1" display="Interview Guides" xr:uid="{00000000-0004-0000-0000-000004000000}"/>
    <hyperlink ref="C25" location="'Document Requests'!A1" display="Document Requests" xr:uid="{00000000-0004-0000-0000-000005000000}"/>
    <hyperlink ref="C26" location="'Assessment'!A1" display="Assessment" xr:uid="{00000000-0004-0000-0000-000006000000}"/>
    <hyperlink ref="C27" location="'Capabilities'!A1" display="Capabilities" xr:uid="{00000000-0004-0000-0000-000007000000}"/>
    <hyperlink ref="C28" location="'Processes'!A1" display="Processes" xr:uid="{00000000-0004-0000-0000-000008000000}"/>
    <hyperlink ref="C29" location="'Org Structure'!A1" display="Org Structure" xr:uid="{00000000-0004-0000-0000-000009000000}"/>
    <hyperlink ref="C30" location="'Decision Rights'!A1" display="Decision Rights" xr:uid="{00000000-0004-0000-0000-00000A000000}"/>
    <hyperlink ref="C31" location="'Applications'!A1" display="Applications" xr:uid="{00000000-0004-0000-0000-00000B000000}"/>
    <hyperlink ref="C32" location="'Suppliers'!A1" display="Suppliers" xr:uid="{00000000-0004-0000-0000-00000C000000}"/>
    <hyperlink ref="C33" location="'Locations'!A1" display="Locations" xr:uid="{00000000-0004-0000-0000-00000D000000}"/>
    <hyperlink ref="C34" location="'Cost Baseline'!A1" display="Cost Baseline" xr:uid="{00000000-0004-0000-0000-00000E000000}"/>
    <hyperlink ref="C35" location="'Findings'!A1" display="Findings" xr:uid="{00000000-0004-0000-0000-00000F000000}"/>
    <hyperlink ref="C36" location="'Dashboard'!A1" display="Dashboard" xr:uid="{00000000-0004-0000-0000-000010000000}"/>
    <hyperlink ref="C37" location="'Current vs Target'!A1" display="Current vs Target" xr:uid="{00000000-0004-0000-0000-000011000000}"/>
    <hyperlink ref="C38" location="'Recommendations'!A1" display="Recommendations" xr:uid="{00000000-0004-0000-0000-000012000000}"/>
    <hyperlink ref="C39" location="'Lists'!A1" display="Lists" xr:uid="{00000000-0004-0000-0000-000013000000}"/>
  </hyperlinks>
  <pageMargins left="0.4" right="0.4" top="0.5" bottom="0.5" header="0.511811023622047" footer="0.5"/>
  <pageSetup paperSize="9" fitToHeight="0" orientation="portrait" horizontalDpi="300" verticalDpi="300"/>
  <headerFooter>
    <oddFooter>&amp;L&amp;8 CTO Consulting | Operating Model Assessment Toolkit&amp;R&amp;8 &amp;A |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  <pageSetUpPr fitToPage="1"/>
  </sheetPr>
  <dimension ref="B1:E59"/>
  <sheetViews>
    <sheetView showGridLines="0" zoomScale="90" zoomScaleNormal="90" workbookViewId="0"/>
  </sheetViews>
  <sheetFormatPr baseColWidth="10" defaultColWidth="8.6640625" defaultRowHeight="13" x14ac:dyDescent="0.15"/>
  <cols>
    <col min="1" max="1" width="3" customWidth="1"/>
    <col min="2" max="2" width="36" customWidth="1"/>
    <col min="3" max="3" width="46" customWidth="1"/>
    <col min="4" max="4" width="52" customWidth="1"/>
    <col min="5" max="5" width="26" customWidth="1"/>
  </cols>
  <sheetData>
    <row r="1" spans="2:5" ht="27.75" customHeight="1" x14ac:dyDescent="0.15">
      <c r="B1" s="27" t="s">
        <v>93</v>
      </c>
    </row>
    <row r="2" spans="2:5" x14ac:dyDescent="0.15">
      <c r="B2" s="28" t="s">
        <v>94</v>
      </c>
    </row>
    <row r="4" spans="2:5" ht="19.5" customHeight="1" x14ac:dyDescent="0.2">
      <c r="B4" s="16" t="s">
        <v>95</v>
      </c>
      <c r="C4" s="17"/>
      <c r="D4" s="17"/>
      <c r="E4" s="17"/>
    </row>
    <row r="5" spans="2:5" ht="14" x14ac:dyDescent="0.15">
      <c r="B5" s="26" t="s">
        <v>96</v>
      </c>
      <c r="C5" s="9"/>
      <c r="D5" s="9"/>
      <c r="E5" s="9"/>
    </row>
    <row r="6" spans="2:5" ht="14" x14ac:dyDescent="0.15">
      <c r="B6" s="26" t="s">
        <v>97</v>
      </c>
      <c r="C6" s="9"/>
      <c r="D6" s="9"/>
      <c r="E6" s="9"/>
    </row>
    <row r="7" spans="2:5" ht="14" x14ac:dyDescent="0.15">
      <c r="B7" s="26" t="s">
        <v>98</v>
      </c>
      <c r="C7" s="9"/>
      <c r="D7" s="9"/>
      <c r="E7" s="9"/>
    </row>
    <row r="8" spans="2:5" ht="14" x14ac:dyDescent="0.15">
      <c r="B8" s="26" t="s">
        <v>99</v>
      </c>
      <c r="C8" s="9"/>
      <c r="D8" s="9"/>
      <c r="E8" s="9"/>
    </row>
    <row r="9" spans="2:5" ht="14" x14ac:dyDescent="0.15">
      <c r="B9" s="26" t="s">
        <v>100</v>
      </c>
      <c r="C9" s="9"/>
      <c r="D9" s="9"/>
      <c r="E9" s="9"/>
    </row>
    <row r="10" spans="2:5" ht="14" x14ac:dyDescent="0.15">
      <c r="B10" s="26" t="s">
        <v>101</v>
      </c>
      <c r="C10" s="9"/>
      <c r="D10" s="9"/>
      <c r="E10" s="9"/>
    </row>
    <row r="11" spans="2:5" ht="14" x14ac:dyDescent="0.15">
      <c r="B11" s="26" t="s">
        <v>102</v>
      </c>
      <c r="C11" s="8"/>
      <c r="D11" s="8"/>
      <c r="E11" s="8"/>
    </row>
    <row r="12" spans="2:5" ht="14" x14ac:dyDescent="0.15">
      <c r="B12" s="26" t="s">
        <v>103</v>
      </c>
      <c r="C12" s="8"/>
      <c r="D12" s="8"/>
      <c r="E12" s="8"/>
    </row>
    <row r="13" spans="2:5" ht="15" customHeight="1" x14ac:dyDescent="0.15">
      <c r="B13" s="26" t="s">
        <v>104</v>
      </c>
      <c r="C13" s="9" t="s">
        <v>105</v>
      </c>
      <c r="D13" s="9"/>
      <c r="E13" s="9"/>
    </row>
    <row r="14" spans="2:5" ht="15" customHeight="1" x14ac:dyDescent="0.15">
      <c r="B14" s="26" t="s">
        <v>106</v>
      </c>
      <c r="C14" s="9" t="s">
        <v>107</v>
      </c>
      <c r="D14" s="9"/>
      <c r="E14" s="9"/>
    </row>
    <row r="16" spans="2:5" ht="19.5" customHeight="1" x14ac:dyDescent="0.2">
      <c r="B16" s="16" t="s">
        <v>108</v>
      </c>
      <c r="C16" s="17"/>
      <c r="D16" s="17"/>
      <c r="E16" s="17"/>
    </row>
    <row r="17" spans="2:5" ht="14" x14ac:dyDescent="0.15">
      <c r="B17" s="26" t="s">
        <v>109</v>
      </c>
      <c r="C17" s="9"/>
      <c r="D17" s="9"/>
      <c r="E17" s="9"/>
    </row>
    <row r="18" spans="2:5" ht="14" x14ac:dyDescent="0.15">
      <c r="B18" s="26" t="s">
        <v>110</v>
      </c>
      <c r="C18" s="9"/>
      <c r="D18" s="9"/>
      <c r="E18" s="9"/>
    </row>
    <row r="19" spans="2:5" ht="14" x14ac:dyDescent="0.15">
      <c r="B19" s="26" t="s">
        <v>111</v>
      </c>
      <c r="C19" s="9"/>
      <c r="D19" s="9"/>
      <c r="E19" s="9"/>
    </row>
    <row r="20" spans="2:5" ht="14" x14ac:dyDescent="0.15">
      <c r="B20" s="26" t="s">
        <v>112</v>
      </c>
      <c r="C20" s="9"/>
      <c r="D20" s="9"/>
      <c r="E20" s="9"/>
    </row>
    <row r="21" spans="2:5" ht="14" x14ac:dyDescent="0.15">
      <c r="B21" s="26" t="s">
        <v>113</v>
      </c>
      <c r="C21" s="9"/>
      <c r="D21" s="9"/>
      <c r="E21" s="9"/>
    </row>
    <row r="23" spans="2:5" ht="19.5" customHeight="1" x14ac:dyDescent="0.2">
      <c r="B23" s="16" t="s">
        <v>114</v>
      </c>
      <c r="C23" s="17"/>
      <c r="D23" s="17"/>
      <c r="E23" s="17"/>
    </row>
    <row r="24" spans="2:5" ht="14" x14ac:dyDescent="0.15">
      <c r="B24" s="26" t="s">
        <v>115</v>
      </c>
      <c r="C24" s="9"/>
      <c r="D24" s="9"/>
      <c r="E24" s="9"/>
    </row>
    <row r="25" spans="2:5" ht="14" x14ac:dyDescent="0.15">
      <c r="B25" s="26" t="s">
        <v>116</v>
      </c>
      <c r="C25" s="9"/>
      <c r="D25" s="9"/>
      <c r="E25" s="9"/>
    </row>
    <row r="26" spans="2:5" ht="15" customHeight="1" x14ac:dyDescent="0.15">
      <c r="B26" s="26" t="s">
        <v>117</v>
      </c>
      <c r="C26" s="9" t="s">
        <v>118</v>
      </c>
      <c r="D26" s="9"/>
      <c r="E26" s="9"/>
    </row>
    <row r="27" spans="2:5" ht="14" x14ac:dyDescent="0.15">
      <c r="B27" s="26" t="s">
        <v>119</v>
      </c>
      <c r="C27" s="9"/>
      <c r="D27" s="9"/>
      <c r="E27" s="9"/>
    </row>
    <row r="28" spans="2:5" ht="14" x14ac:dyDescent="0.15">
      <c r="B28" s="26" t="s">
        <v>120</v>
      </c>
      <c r="C28" s="9"/>
      <c r="D28" s="9"/>
      <c r="E28" s="9"/>
    </row>
    <row r="30" spans="2:5" ht="19.5" customHeight="1" x14ac:dyDescent="0.2">
      <c r="B30" s="16" t="s">
        <v>121</v>
      </c>
      <c r="C30" s="17"/>
      <c r="D30" s="17"/>
      <c r="E30" s="17"/>
    </row>
    <row r="31" spans="2:5" ht="14" x14ac:dyDescent="0.15">
      <c r="B31" s="26" t="s">
        <v>122</v>
      </c>
      <c r="C31" s="9"/>
      <c r="D31" s="9"/>
      <c r="E31" s="9"/>
    </row>
    <row r="32" spans="2:5" ht="14" x14ac:dyDescent="0.15">
      <c r="B32" s="26" t="s">
        <v>123</v>
      </c>
      <c r="C32" s="9"/>
      <c r="D32" s="9"/>
      <c r="E32" s="9"/>
    </row>
    <row r="33" spans="2:5" ht="14" x14ac:dyDescent="0.15">
      <c r="B33" s="26" t="s">
        <v>124</v>
      </c>
      <c r="C33" s="9"/>
      <c r="D33" s="9"/>
      <c r="E33" s="9"/>
    </row>
    <row r="34" spans="2:5" ht="14" x14ac:dyDescent="0.15">
      <c r="B34" s="26" t="s">
        <v>125</v>
      </c>
      <c r="C34" s="9"/>
      <c r="D34" s="9"/>
      <c r="E34" s="9"/>
    </row>
    <row r="35" spans="2:5" ht="14" x14ac:dyDescent="0.15">
      <c r="B35" s="26" t="s">
        <v>126</v>
      </c>
      <c r="C35" s="9"/>
      <c r="D35" s="9"/>
      <c r="E35" s="9"/>
    </row>
    <row r="37" spans="2:5" ht="19.5" customHeight="1" x14ac:dyDescent="0.2">
      <c r="B37" s="16" t="s">
        <v>127</v>
      </c>
      <c r="C37" s="17"/>
      <c r="D37" s="17"/>
      <c r="E37" s="17"/>
    </row>
    <row r="38" spans="2:5" ht="15" customHeight="1" x14ac:dyDescent="0.15">
      <c r="B38" s="29" t="s">
        <v>128</v>
      </c>
      <c r="C38" s="30" t="s">
        <v>129</v>
      </c>
      <c r="D38" s="7" t="s">
        <v>130</v>
      </c>
      <c r="E38" s="7"/>
    </row>
    <row r="39" spans="2:5" ht="27.75" customHeight="1" x14ac:dyDescent="0.15">
      <c r="B39" s="26" t="s">
        <v>131</v>
      </c>
      <c r="C39" s="31">
        <v>3</v>
      </c>
      <c r="D39" s="6" t="s">
        <v>132</v>
      </c>
      <c r="E39" s="6"/>
    </row>
    <row r="40" spans="2:5" ht="27.75" customHeight="1" x14ac:dyDescent="0.15">
      <c r="B40" s="26" t="s">
        <v>133</v>
      </c>
      <c r="C40" s="32">
        <v>1.5</v>
      </c>
      <c r="D40" s="6" t="s">
        <v>134</v>
      </c>
      <c r="E40" s="6"/>
    </row>
    <row r="41" spans="2:5" ht="27.75" customHeight="1" x14ac:dyDescent="0.15">
      <c r="B41" s="26" t="s">
        <v>135</v>
      </c>
      <c r="C41" s="32">
        <v>0.75</v>
      </c>
      <c r="D41" s="6" t="s">
        <v>136</v>
      </c>
      <c r="E41" s="6"/>
    </row>
    <row r="42" spans="2:5" ht="27.75" customHeight="1" x14ac:dyDescent="0.15">
      <c r="B42" s="26" t="s">
        <v>137</v>
      </c>
      <c r="C42" s="31">
        <v>3</v>
      </c>
      <c r="D42" s="6" t="s">
        <v>138</v>
      </c>
      <c r="E42" s="6"/>
    </row>
    <row r="43" spans="2:5" ht="27.75" customHeight="1" x14ac:dyDescent="0.15">
      <c r="B43" s="26" t="s">
        <v>139</v>
      </c>
      <c r="C43" s="31">
        <v>6</v>
      </c>
      <c r="D43" s="6" t="s">
        <v>140</v>
      </c>
      <c r="E43" s="6"/>
    </row>
    <row r="44" spans="2:5" ht="27.75" customHeight="1" x14ac:dyDescent="0.15">
      <c r="B44" s="26" t="s">
        <v>141</v>
      </c>
      <c r="C44" s="31">
        <v>180</v>
      </c>
      <c r="D44" s="6" t="s">
        <v>142</v>
      </c>
      <c r="E44" s="6"/>
    </row>
    <row r="45" spans="2:5" ht="27.75" customHeight="1" x14ac:dyDescent="0.15">
      <c r="B45" s="26" t="s">
        <v>143</v>
      </c>
      <c r="C45" s="31">
        <v>3</v>
      </c>
      <c r="D45" s="6" t="s">
        <v>144</v>
      </c>
      <c r="E45" s="6"/>
    </row>
    <row r="47" spans="2:5" ht="19.5" customHeight="1" x14ac:dyDescent="0.2">
      <c r="B47" s="16" t="s">
        <v>145</v>
      </c>
      <c r="C47" s="17"/>
      <c r="D47" s="17"/>
      <c r="E47" s="17"/>
    </row>
    <row r="48" spans="2:5" ht="21.75" customHeight="1" x14ac:dyDescent="0.15">
      <c r="B48" s="20" t="s">
        <v>146</v>
      </c>
      <c r="C48" s="20" t="s">
        <v>147</v>
      </c>
      <c r="D48" s="20" t="s">
        <v>148</v>
      </c>
      <c r="E48" s="20" t="s">
        <v>149</v>
      </c>
    </row>
    <row r="49" spans="2:5" ht="30" customHeight="1" x14ac:dyDescent="0.15">
      <c r="B49" s="25" t="s">
        <v>150</v>
      </c>
      <c r="C49" s="25" t="s">
        <v>151</v>
      </c>
      <c r="D49" s="25" t="s">
        <v>152</v>
      </c>
      <c r="E49" s="25" t="s">
        <v>153</v>
      </c>
    </row>
    <row r="50" spans="2:5" ht="30" customHeight="1" x14ac:dyDescent="0.15">
      <c r="B50" s="22"/>
      <c r="C50" s="22"/>
      <c r="D50" s="22"/>
      <c r="E50" s="22"/>
    </row>
    <row r="51" spans="2:5" ht="30" customHeight="1" x14ac:dyDescent="0.15">
      <c r="B51" s="22"/>
      <c r="C51" s="22"/>
      <c r="D51" s="22"/>
      <c r="E51" s="22"/>
    </row>
    <row r="52" spans="2:5" ht="30" customHeight="1" x14ac:dyDescent="0.15">
      <c r="B52" s="22"/>
      <c r="C52" s="22"/>
      <c r="D52" s="22"/>
      <c r="E52" s="22"/>
    </row>
    <row r="53" spans="2:5" ht="30" customHeight="1" x14ac:dyDescent="0.15">
      <c r="B53" s="22"/>
      <c r="C53" s="22"/>
      <c r="D53" s="22"/>
      <c r="E53" s="22"/>
    </row>
    <row r="54" spans="2:5" ht="30" customHeight="1" x14ac:dyDescent="0.15">
      <c r="B54" s="22"/>
      <c r="C54" s="22"/>
      <c r="D54" s="22"/>
      <c r="E54" s="22"/>
    </row>
    <row r="55" spans="2:5" ht="30" customHeight="1" x14ac:dyDescent="0.15">
      <c r="B55" s="22"/>
      <c r="C55" s="22"/>
      <c r="D55" s="22"/>
      <c r="E55" s="22"/>
    </row>
    <row r="56" spans="2:5" ht="30" customHeight="1" x14ac:dyDescent="0.15">
      <c r="B56" s="22"/>
      <c r="C56" s="22"/>
      <c r="D56" s="22"/>
      <c r="E56" s="22"/>
    </row>
    <row r="57" spans="2:5" ht="30" customHeight="1" x14ac:dyDescent="0.15">
      <c r="B57" s="22"/>
      <c r="C57" s="22"/>
      <c r="D57" s="22"/>
      <c r="E57" s="22"/>
    </row>
    <row r="58" spans="2:5" ht="30" customHeight="1" x14ac:dyDescent="0.15">
      <c r="B58" s="22"/>
      <c r="C58" s="22"/>
      <c r="D58" s="22"/>
      <c r="E58" s="22"/>
    </row>
    <row r="59" spans="2:5" ht="30" customHeight="1" x14ac:dyDescent="0.15">
      <c r="B59" s="22"/>
      <c r="C59" s="22"/>
      <c r="D59" s="22"/>
      <c r="E59" s="22"/>
    </row>
  </sheetData>
  <mergeCells count="33">
    <mergeCell ref="D43:E43"/>
    <mergeCell ref="D44:E44"/>
    <mergeCell ref="D45:E45"/>
    <mergeCell ref="D38:E38"/>
    <mergeCell ref="D39:E39"/>
    <mergeCell ref="D40:E40"/>
    <mergeCell ref="D41:E41"/>
    <mergeCell ref="D42:E42"/>
    <mergeCell ref="C31:E31"/>
    <mergeCell ref="C32:E32"/>
    <mergeCell ref="C33:E33"/>
    <mergeCell ref="C34:E34"/>
    <mergeCell ref="C35:E35"/>
    <mergeCell ref="C24:E24"/>
    <mergeCell ref="C25:E25"/>
    <mergeCell ref="C26:E26"/>
    <mergeCell ref="C27:E27"/>
    <mergeCell ref="C28:E28"/>
    <mergeCell ref="C17:E17"/>
    <mergeCell ref="C18:E18"/>
    <mergeCell ref="C19:E19"/>
    <mergeCell ref="C20:E20"/>
    <mergeCell ref="C21:E21"/>
    <mergeCell ref="C10:E10"/>
    <mergeCell ref="C11:E11"/>
    <mergeCell ref="C12:E12"/>
    <mergeCell ref="C13:E13"/>
    <mergeCell ref="C14:E14"/>
    <mergeCell ref="C5:E5"/>
    <mergeCell ref="C6:E6"/>
    <mergeCell ref="C7:E7"/>
    <mergeCell ref="C8:E8"/>
    <mergeCell ref="C9:E9"/>
  </mergeCells>
  <dataValidations count="2">
    <dataValidation type="date" operator="greaterThan" allowBlank="1" showErrorMessage="1" error="Enter a valid date (dd/mm/yyyy)." sqref="C11:C12" xr:uid="{00000000-0002-0000-0100-000001000000}">
      <formula1>36526</formula1>
      <formula2>0</formula2>
    </dataValidation>
    <dataValidation type="whole" allowBlank="1" showErrorMessage="1" error="Enter a whole number between 1 and 5." sqref="C39" xr:uid="{00000000-0002-0000-0100-000002000000}">
      <formula1>1</formula1>
      <formula2>5</formula2>
    </dataValidation>
  </dataValidations>
  <pageMargins left="0.4" right="0.4" top="0.5" bottom="0.5" header="0.511811023622047" footer="0.5"/>
  <pageSetup paperSize="9" fitToHeight="0" orientation="portrait" horizontalDpi="300" verticalDpi="300"/>
  <headerFooter>
    <oddFooter>&amp;L&amp;8 CTO Consulting | Operating Model Assessment Toolkit&amp;R&amp;8 &amp;A | 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Invalid entry" error="Please select a value from the list (values are maintained on the Lists tab)." xr:uid="{00000000-0002-0000-0100-000000000000}">
          <x14:formula1>
            <xm:f>Lists!$AB$2:$AB$6</xm:f>
          </x14:formula1>
          <x14:formula2>
            <xm:f>0</xm:f>
          </x14:formula2>
          <xm:sqref>C14</xm:sqref>
        </x14:dataValidation>
        <x14:dataValidation type="list" allowBlank="1" showErrorMessage="1" errorTitle="Invalid entry" error="Please select a value from the list (values are maintained on the Lists tab)." xr:uid="{00000000-0002-0000-0100-000003000000}">
          <x14:formula1>
            <xm:f>Lists!$AC$2:$AC$4</xm:f>
          </x14:formula1>
          <x14:formula2>
            <xm:f>0</xm:f>
          </x14:formula2>
          <xm:sqref>E49:E59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7F7F"/>
    <pageSetUpPr fitToPage="1"/>
  </sheetPr>
  <dimension ref="A1:K30"/>
  <sheetViews>
    <sheetView showGridLines="0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3" x14ac:dyDescent="0.15"/>
  <cols>
    <col min="1" max="1" width="7" customWidth="1"/>
    <col min="2" max="2" width="24" customWidth="1"/>
    <col min="3" max="3" width="40" customWidth="1"/>
    <col min="4" max="4" width="44" customWidth="1"/>
    <col min="5" max="5" width="36" customWidth="1"/>
    <col min="6" max="6" width="20" customWidth="1"/>
    <col min="7" max="7" width="16" customWidth="1"/>
    <col min="8" max="8" width="14" customWidth="1"/>
    <col min="9" max="9" width="22" customWidth="1"/>
    <col min="10" max="10" width="38" customWidth="1"/>
    <col min="11" max="11" width="11" customWidth="1"/>
  </cols>
  <sheetData>
    <row r="1" spans="1:11" ht="27.75" customHeight="1" x14ac:dyDescent="0.15">
      <c r="A1" s="33" t="s">
        <v>154</v>
      </c>
    </row>
    <row r="2" spans="1:11" x14ac:dyDescent="0.15">
      <c r="A2" s="34" t="s">
        <v>155</v>
      </c>
    </row>
    <row r="4" spans="1:11" ht="31.5" customHeight="1" x14ac:dyDescent="0.15">
      <c r="A4" s="20" t="s">
        <v>156</v>
      </c>
      <c r="B4" s="20" t="s">
        <v>157</v>
      </c>
      <c r="C4" s="20" t="s">
        <v>158</v>
      </c>
      <c r="D4" s="20" t="s">
        <v>159</v>
      </c>
      <c r="E4" s="20" t="s">
        <v>160</v>
      </c>
      <c r="F4" s="20" t="s">
        <v>161</v>
      </c>
      <c r="G4" s="20" t="s">
        <v>162</v>
      </c>
      <c r="H4" s="20" t="s">
        <v>163</v>
      </c>
      <c r="I4" s="20" t="s">
        <v>164</v>
      </c>
      <c r="J4" s="20" t="s">
        <v>165</v>
      </c>
      <c r="K4" s="20" t="s">
        <v>166</v>
      </c>
    </row>
    <row r="5" spans="1:11" ht="42" x14ac:dyDescent="0.15">
      <c r="A5" s="26" t="s">
        <v>167</v>
      </c>
      <c r="B5" s="26" t="s">
        <v>168</v>
      </c>
      <c r="C5" s="19" t="s">
        <v>169</v>
      </c>
      <c r="D5" s="19" t="s">
        <v>170</v>
      </c>
      <c r="E5" s="19" t="s">
        <v>171</v>
      </c>
      <c r="F5" s="19" t="s">
        <v>172</v>
      </c>
      <c r="G5" s="19" t="s">
        <v>173</v>
      </c>
      <c r="H5" s="19" t="s">
        <v>174</v>
      </c>
      <c r="I5" s="19" t="s">
        <v>175</v>
      </c>
      <c r="J5" s="19" t="s">
        <v>176</v>
      </c>
      <c r="K5" s="35">
        <f>COUNTIF(Assessment!$B$6:$B$179,B5)</f>
        <v>9</v>
      </c>
    </row>
    <row r="6" spans="1:11" ht="42" x14ac:dyDescent="0.15">
      <c r="A6" s="26" t="s">
        <v>177</v>
      </c>
      <c r="B6" s="26" t="s">
        <v>178</v>
      </c>
      <c r="C6" s="19" t="s">
        <v>179</v>
      </c>
      <c r="D6" s="19" t="s">
        <v>180</v>
      </c>
      <c r="E6" s="19" t="s">
        <v>181</v>
      </c>
      <c r="F6" s="19" t="s">
        <v>182</v>
      </c>
      <c r="G6" s="19" t="s">
        <v>174</v>
      </c>
      <c r="H6" s="19" t="s">
        <v>174</v>
      </c>
      <c r="I6" s="19" t="s">
        <v>183</v>
      </c>
      <c r="J6" s="19" t="s">
        <v>184</v>
      </c>
      <c r="K6" s="35">
        <f>COUNTIF(Assessment!$B$6:$B$179,B6)</f>
        <v>9</v>
      </c>
    </row>
    <row r="7" spans="1:11" ht="42" x14ac:dyDescent="0.15">
      <c r="A7" s="26" t="s">
        <v>185</v>
      </c>
      <c r="B7" s="26" t="s">
        <v>186</v>
      </c>
      <c r="C7" s="19" t="s">
        <v>187</v>
      </c>
      <c r="D7" s="19" t="s">
        <v>188</v>
      </c>
      <c r="E7" s="19" t="s">
        <v>189</v>
      </c>
      <c r="F7" s="19" t="s">
        <v>190</v>
      </c>
      <c r="G7" s="19" t="s">
        <v>174</v>
      </c>
      <c r="H7" s="19" t="s">
        <v>174</v>
      </c>
      <c r="I7" s="19" t="s">
        <v>191</v>
      </c>
      <c r="J7" s="19" t="s">
        <v>192</v>
      </c>
      <c r="K7" s="35">
        <f>COUNTIF(Assessment!$B$6:$B$179,B7)</f>
        <v>8</v>
      </c>
    </row>
    <row r="8" spans="1:11" ht="56" x14ac:dyDescent="0.15">
      <c r="A8" s="26" t="s">
        <v>193</v>
      </c>
      <c r="B8" s="26" t="s">
        <v>194</v>
      </c>
      <c r="C8" s="19" t="s">
        <v>195</v>
      </c>
      <c r="D8" s="19" t="s">
        <v>196</v>
      </c>
      <c r="E8" s="19" t="s">
        <v>197</v>
      </c>
      <c r="F8" s="19" t="s">
        <v>198</v>
      </c>
      <c r="G8" s="19" t="s">
        <v>199</v>
      </c>
      <c r="H8" s="19" t="s">
        <v>42</v>
      </c>
      <c r="I8" s="19" t="s">
        <v>200</v>
      </c>
      <c r="J8" s="19" t="s">
        <v>201</v>
      </c>
      <c r="K8" s="35">
        <f>COUNTIF(Assessment!$B$6:$B$179,B8)</f>
        <v>10</v>
      </c>
    </row>
    <row r="9" spans="1:11" ht="56" x14ac:dyDescent="0.15">
      <c r="A9" s="26" t="s">
        <v>202</v>
      </c>
      <c r="B9" s="26" t="s">
        <v>203</v>
      </c>
      <c r="C9" s="19" t="s">
        <v>204</v>
      </c>
      <c r="D9" s="19" t="s">
        <v>205</v>
      </c>
      <c r="E9" s="19" t="s">
        <v>206</v>
      </c>
      <c r="F9" s="19" t="s">
        <v>207</v>
      </c>
      <c r="G9" s="19" t="s">
        <v>208</v>
      </c>
      <c r="H9" s="19" t="s">
        <v>42</v>
      </c>
      <c r="I9" s="19" t="s">
        <v>209</v>
      </c>
      <c r="J9" s="19" t="s">
        <v>210</v>
      </c>
      <c r="K9" s="35">
        <f>COUNTIF(Assessment!$B$6:$B$179,B9)</f>
        <v>8</v>
      </c>
    </row>
    <row r="10" spans="1:11" ht="42" x14ac:dyDescent="0.15">
      <c r="A10" s="26" t="s">
        <v>211</v>
      </c>
      <c r="B10" s="26" t="s">
        <v>212</v>
      </c>
      <c r="C10" s="19" t="s">
        <v>213</v>
      </c>
      <c r="D10" s="19" t="s">
        <v>214</v>
      </c>
      <c r="E10" s="19" t="s">
        <v>215</v>
      </c>
      <c r="F10" s="19" t="s">
        <v>216</v>
      </c>
      <c r="G10" s="19" t="s">
        <v>217</v>
      </c>
      <c r="H10" s="19" t="s">
        <v>217</v>
      </c>
      <c r="I10" s="19" t="s">
        <v>218</v>
      </c>
      <c r="J10" s="19" t="s">
        <v>219</v>
      </c>
      <c r="K10" s="35">
        <f>COUNTIF(Assessment!$B$6:$B$179,B10)</f>
        <v>9</v>
      </c>
    </row>
    <row r="11" spans="1:11" ht="42" x14ac:dyDescent="0.15">
      <c r="A11" s="26" t="s">
        <v>220</v>
      </c>
      <c r="B11" s="26" t="s">
        <v>221</v>
      </c>
      <c r="C11" s="19" t="s">
        <v>222</v>
      </c>
      <c r="D11" s="19" t="s">
        <v>223</v>
      </c>
      <c r="E11" s="19" t="s">
        <v>224</v>
      </c>
      <c r="F11" s="19" t="s">
        <v>225</v>
      </c>
      <c r="G11" s="19" t="s">
        <v>226</v>
      </c>
      <c r="H11" s="19" t="s">
        <v>227</v>
      </c>
      <c r="I11" s="19" t="s">
        <v>228</v>
      </c>
      <c r="J11" s="19" t="s">
        <v>229</v>
      </c>
      <c r="K11" s="35">
        <f>COUNTIF(Assessment!$B$6:$B$179,B11)</f>
        <v>9</v>
      </c>
    </row>
    <row r="12" spans="1:11" ht="42" x14ac:dyDescent="0.15">
      <c r="A12" s="26" t="s">
        <v>230</v>
      </c>
      <c r="B12" s="26" t="s">
        <v>231</v>
      </c>
      <c r="C12" s="19" t="s">
        <v>232</v>
      </c>
      <c r="D12" s="19" t="s">
        <v>233</v>
      </c>
      <c r="E12" s="19" t="s">
        <v>234</v>
      </c>
      <c r="F12" s="19" t="s">
        <v>216</v>
      </c>
      <c r="G12" s="19" t="s">
        <v>235</v>
      </c>
      <c r="H12" s="19" t="s">
        <v>236</v>
      </c>
      <c r="I12" s="19" t="s">
        <v>237</v>
      </c>
      <c r="J12" s="19" t="s">
        <v>238</v>
      </c>
      <c r="K12" s="35">
        <f>COUNTIF(Assessment!$B$6:$B$179,B12)</f>
        <v>10</v>
      </c>
    </row>
    <row r="13" spans="1:11" ht="42" x14ac:dyDescent="0.15">
      <c r="A13" s="26" t="s">
        <v>239</v>
      </c>
      <c r="B13" s="26" t="s">
        <v>240</v>
      </c>
      <c r="C13" s="19" t="s">
        <v>241</v>
      </c>
      <c r="D13" s="19" t="s">
        <v>242</v>
      </c>
      <c r="E13" s="19" t="s">
        <v>243</v>
      </c>
      <c r="F13" s="19" t="s">
        <v>244</v>
      </c>
      <c r="G13" s="19" t="s">
        <v>245</v>
      </c>
      <c r="H13" s="19" t="s">
        <v>236</v>
      </c>
      <c r="I13" s="19" t="s">
        <v>246</v>
      </c>
      <c r="J13" s="19" t="s">
        <v>247</v>
      </c>
      <c r="K13" s="35">
        <f>COUNTIF(Assessment!$B$6:$B$179,B13)</f>
        <v>9</v>
      </c>
    </row>
    <row r="14" spans="1:11" ht="56" x14ac:dyDescent="0.15">
      <c r="A14" s="26" t="s">
        <v>248</v>
      </c>
      <c r="B14" s="26" t="s">
        <v>249</v>
      </c>
      <c r="C14" s="19" t="s">
        <v>250</v>
      </c>
      <c r="D14" s="19" t="s">
        <v>251</v>
      </c>
      <c r="E14" s="19" t="s">
        <v>252</v>
      </c>
      <c r="F14" s="19" t="s">
        <v>225</v>
      </c>
      <c r="G14" s="19" t="s">
        <v>199</v>
      </c>
      <c r="H14" s="19" t="s">
        <v>253</v>
      </c>
      <c r="I14" s="19" t="s">
        <v>254</v>
      </c>
      <c r="J14" s="19" t="s">
        <v>255</v>
      </c>
      <c r="K14" s="35">
        <f>COUNTIF(Assessment!$B$6:$B$179,B14)</f>
        <v>9</v>
      </c>
    </row>
    <row r="15" spans="1:11" ht="56" x14ac:dyDescent="0.15">
      <c r="A15" s="26" t="s">
        <v>256</v>
      </c>
      <c r="B15" s="26" t="s">
        <v>257</v>
      </c>
      <c r="C15" s="19" t="s">
        <v>258</v>
      </c>
      <c r="D15" s="19" t="s">
        <v>259</v>
      </c>
      <c r="E15" s="19" t="s">
        <v>260</v>
      </c>
      <c r="F15" s="19" t="s">
        <v>261</v>
      </c>
      <c r="G15" s="19" t="s">
        <v>199</v>
      </c>
      <c r="H15" s="19" t="s">
        <v>42</v>
      </c>
      <c r="I15" s="19" t="s">
        <v>262</v>
      </c>
      <c r="J15" s="19" t="s">
        <v>263</v>
      </c>
      <c r="K15" s="35">
        <f>COUNTIF(Assessment!$B$6:$B$179,B15)</f>
        <v>11</v>
      </c>
    </row>
    <row r="16" spans="1:11" ht="56" x14ac:dyDescent="0.15">
      <c r="A16" s="26" t="s">
        <v>264</v>
      </c>
      <c r="B16" s="26" t="s">
        <v>265</v>
      </c>
      <c r="C16" s="19" t="s">
        <v>266</v>
      </c>
      <c r="D16" s="19" t="s">
        <v>267</v>
      </c>
      <c r="E16" s="19" t="s">
        <v>268</v>
      </c>
      <c r="F16" s="19" t="s">
        <v>269</v>
      </c>
      <c r="G16" s="19" t="s">
        <v>199</v>
      </c>
      <c r="H16" s="19" t="s">
        <v>42</v>
      </c>
      <c r="I16" s="19" t="s">
        <v>270</v>
      </c>
      <c r="J16" s="19" t="s">
        <v>271</v>
      </c>
      <c r="K16" s="35">
        <f>COUNTIF(Assessment!$B$6:$B$179,B16)</f>
        <v>9</v>
      </c>
    </row>
    <row r="17" spans="1:11" ht="56" x14ac:dyDescent="0.15">
      <c r="A17" s="26" t="s">
        <v>272</v>
      </c>
      <c r="B17" s="26" t="s">
        <v>273</v>
      </c>
      <c r="C17" s="19" t="s">
        <v>274</v>
      </c>
      <c r="D17" s="19" t="s">
        <v>275</v>
      </c>
      <c r="E17" s="19" t="s">
        <v>276</v>
      </c>
      <c r="F17" s="19" t="s">
        <v>50</v>
      </c>
      <c r="G17" s="19" t="s">
        <v>277</v>
      </c>
      <c r="H17" s="19" t="s">
        <v>217</v>
      </c>
      <c r="I17" s="19" t="s">
        <v>278</v>
      </c>
      <c r="J17" s="19" t="s">
        <v>279</v>
      </c>
      <c r="K17" s="35">
        <f>COUNTIF(Assessment!$B$6:$B$179,B17)</f>
        <v>8</v>
      </c>
    </row>
    <row r="18" spans="1:11" ht="42" x14ac:dyDescent="0.15">
      <c r="A18" s="26" t="s">
        <v>280</v>
      </c>
      <c r="B18" s="26" t="s">
        <v>281</v>
      </c>
      <c r="C18" s="19" t="s">
        <v>282</v>
      </c>
      <c r="D18" s="19" t="s">
        <v>283</v>
      </c>
      <c r="E18" s="19" t="s">
        <v>284</v>
      </c>
      <c r="F18" s="19" t="s">
        <v>52</v>
      </c>
      <c r="G18" s="19" t="s">
        <v>217</v>
      </c>
      <c r="H18" s="19" t="s">
        <v>217</v>
      </c>
      <c r="I18" s="19" t="s">
        <v>285</v>
      </c>
      <c r="J18" s="19" t="s">
        <v>286</v>
      </c>
      <c r="K18" s="35">
        <f>COUNTIF(Assessment!$B$6:$B$179,B18)</f>
        <v>8</v>
      </c>
    </row>
    <row r="19" spans="1:11" ht="56" x14ac:dyDescent="0.15">
      <c r="A19" s="26" t="s">
        <v>287</v>
      </c>
      <c r="B19" s="26" t="s">
        <v>288</v>
      </c>
      <c r="C19" s="19" t="s">
        <v>289</v>
      </c>
      <c r="D19" s="19" t="s">
        <v>290</v>
      </c>
      <c r="E19" s="19" t="s">
        <v>291</v>
      </c>
      <c r="F19" s="19" t="s">
        <v>225</v>
      </c>
      <c r="G19" s="19" t="s">
        <v>199</v>
      </c>
      <c r="H19" s="19" t="s">
        <v>42</v>
      </c>
      <c r="I19" s="19" t="s">
        <v>292</v>
      </c>
      <c r="J19" s="19" t="s">
        <v>293</v>
      </c>
      <c r="K19" s="35">
        <f>COUNTIF(Assessment!$B$6:$B$179,B19)</f>
        <v>12</v>
      </c>
    </row>
    <row r="20" spans="1:11" ht="56" x14ac:dyDescent="0.15">
      <c r="A20" s="26" t="s">
        <v>294</v>
      </c>
      <c r="B20" s="26" t="s">
        <v>295</v>
      </c>
      <c r="C20" s="19" t="s">
        <v>296</v>
      </c>
      <c r="D20" s="19" t="s">
        <v>297</v>
      </c>
      <c r="E20" s="19" t="s">
        <v>298</v>
      </c>
      <c r="F20" s="19" t="s">
        <v>225</v>
      </c>
      <c r="G20" s="19" t="s">
        <v>199</v>
      </c>
      <c r="H20" s="19" t="s">
        <v>253</v>
      </c>
      <c r="I20" s="19" t="s">
        <v>299</v>
      </c>
      <c r="J20" s="19" t="s">
        <v>300</v>
      </c>
      <c r="K20" s="35">
        <f>COUNTIF(Assessment!$B$6:$B$179,B20)</f>
        <v>9</v>
      </c>
    </row>
    <row r="21" spans="1:11" ht="56" x14ac:dyDescent="0.15">
      <c r="A21" s="26" t="s">
        <v>301</v>
      </c>
      <c r="B21" s="26" t="s">
        <v>302</v>
      </c>
      <c r="C21" s="19" t="s">
        <v>303</v>
      </c>
      <c r="D21" s="19" t="s">
        <v>304</v>
      </c>
      <c r="E21" s="19" t="s">
        <v>305</v>
      </c>
      <c r="F21" s="19" t="s">
        <v>225</v>
      </c>
      <c r="G21" s="19" t="s">
        <v>306</v>
      </c>
      <c r="H21" s="19" t="s">
        <v>307</v>
      </c>
      <c r="I21" s="19" t="s">
        <v>308</v>
      </c>
      <c r="J21" s="19" t="s">
        <v>309</v>
      </c>
      <c r="K21" s="35">
        <f>COUNTIF(Assessment!$B$6:$B$179,B21)</f>
        <v>10</v>
      </c>
    </row>
    <row r="24" spans="1:11" ht="19.5" customHeight="1" x14ac:dyDescent="0.2">
      <c r="A24" s="16" t="s">
        <v>310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11" ht="21.75" customHeight="1" x14ac:dyDescent="0.15">
      <c r="A25" s="5" t="s">
        <v>20</v>
      </c>
      <c r="B25" s="5"/>
      <c r="C25" s="20" t="s">
        <v>311</v>
      </c>
      <c r="D25" s="20" t="s">
        <v>312</v>
      </c>
      <c r="E25" s="20" t="s">
        <v>313</v>
      </c>
    </row>
    <row r="26" spans="1:11" ht="57.5" customHeight="1" x14ac:dyDescent="0.15">
      <c r="A26" s="4" t="s">
        <v>5</v>
      </c>
      <c r="B26" s="4"/>
      <c r="C26" s="19" t="s">
        <v>314</v>
      </c>
      <c r="D26" s="19" t="s">
        <v>315</v>
      </c>
      <c r="E26" s="19" t="s">
        <v>316</v>
      </c>
    </row>
    <row r="27" spans="1:11" ht="46.25" customHeight="1" x14ac:dyDescent="0.15">
      <c r="A27" s="4" t="s">
        <v>317</v>
      </c>
      <c r="B27" s="4"/>
      <c r="C27" s="19" t="s">
        <v>318</v>
      </c>
      <c r="D27" s="19" t="s">
        <v>319</v>
      </c>
      <c r="E27" s="19" t="s">
        <v>320</v>
      </c>
    </row>
    <row r="28" spans="1:11" ht="46.25" customHeight="1" x14ac:dyDescent="0.15">
      <c r="A28" s="4" t="s">
        <v>321</v>
      </c>
      <c r="B28" s="4"/>
      <c r="C28" s="19" t="s">
        <v>322</v>
      </c>
      <c r="D28" s="19" t="s">
        <v>323</v>
      </c>
      <c r="E28" s="19" t="s">
        <v>324</v>
      </c>
    </row>
    <row r="29" spans="1:11" ht="46.25" customHeight="1" x14ac:dyDescent="0.15">
      <c r="A29" s="4" t="s">
        <v>325</v>
      </c>
      <c r="B29" s="4"/>
      <c r="C29" s="19" t="s">
        <v>326</v>
      </c>
      <c r="D29" s="19" t="s">
        <v>327</v>
      </c>
      <c r="E29" s="19" t="s">
        <v>328</v>
      </c>
    </row>
    <row r="30" spans="1:11" ht="35" customHeight="1" x14ac:dyDescent="0.15">
      <c r="A30" s="4" t="s">
        <v>329</v>
      </c>
      <c r="B30" s="4"/>
      <c r="C30" s="19" t="s">
        <v>330</v>
      </c>
      <c r="D30" s="19" t="s">
        <v>331</v>
      </c>
      <c r="E30" s="19" t="s">
        <v>332</v>
      </c>
    </row>
  </sheetData>
  <mergeCells count="6">
    <mergeCell ref="A30:B30"/>
    <mergeCell ref="A25:B25"/>
    <mergeCell ref="A26:B26"/>
    <mergeCell ref="A27:B27"/>
    <mergeCell ref="A28:B28"/>
    <mergeCell ref="A29:B29"/>
  </mergeCells>
  <pageMargins left="0.4" right="0.4" top="0.5" bottom="0.5" header="0.511811023622047" footer="0.5"/>
  <pageSetup paperSize="9" fitToHeight="0" orientation="landscape" horizontalDpi="300" verticalDpi="300"/>
  <headerFooter>
    <oddFooter>&amp;L&amp;8 CTO Consulting | Operating Model Assessment Toolkit&amp;R&amp;8 &amp;A |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7F7F"/>
    <pageSetUpPr fitToPage="1"/>
  </sheetPr>
  <dimension ref="A1:G22"/>
  <sheetViews>
    <sheetView showGridLines="0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3" x14ac:dyDescent="0.15"/>
  <cols>
    <col min="1" max="1" width="7" customWidth="1"/>
    <col min="2" max="2" width="26" customWidth="1"/>
    <col min="3" max="7" width="34" customWidth="1"/>
  </cols>
  <sheetData>
    <row r="1" spans="1:7" ht="27.75" customHeight="1" x14ac:dyDescent="0.15">
      <c r="A1" s="33" t="s">
        <v>28</v>
      </c>
    </row>
    <row r="2" spans="1:7" x14ac:dyDescent="0.15">
      <c r="A2" s="34" t="s">
        <v>333</v>
      </c>
    </row>
    <row r="4" spans="1:7" ht="31.5" customHeight="1" x14ac:dyDescent="0.15">
      <c r="A4" s="20" t="s">
        <v>156</v>
      </c>
      <c r="B4" s="20" t="s">
        <v>157</v>
      </c>
      <c r="C4" s="20" t="s">
        <v>80</v>
      </c>
      <c r="D4" s="20" t="s">
        <v>82</v>
      </c>
      <c r="E4" s="20" t="s">
        <v>84</v>
      </c>
      <c r="F4" s="20" t="s">
        <v>86</v>
      </c>
      <c r="G4" s="20" t="s">
        <v>88</v>
      </c>
    </row>
    <row r="5" spans="1:7" ht="42" x14ac:dyDescent="0.15">
      <c r="A5" s="36" t="s">
        <v>334</v>
      </c>
      <c r="B5" s="36" t="s">
        <v>335</v>
      </c>
      <c r="C5" s="37" t="s">
        <v>81</v>
      </c>
      <c r="D5" s="37" t="s">
        <v>83</v>
      </c>
      <c r="E5" s="37" t="s">
        <v>85</v>
      </c>
      <c r="F5" s="37" t="s">
        <v>87</v>
      </c>
      <c r="G5" s="37" t="s">
        <v>89</v>
      </c>
    </row>
    <row r="6" spans="1:7" ht="56" x14ac:dyDescent="0.15">
      <c r="A6" s="26" t="s">
        <v>167</v>
      </c>
      <c r="B6" s="26" t="s">
        <v>168</v>
      </c>
      <c r="C6" s="19" t="s">
        <v>336</v>
      </c>
      <c r="D6" s="19" t="s">
        <v>337</v>
      </c>
      <c r="E6" s="19" t="s">
        <v>338</v>
      </c>
      <c r="F6" s="19" t="s">
        <v>339</v>
      </c>
      <c r="G6" s="19" t="s">
        <v>340</v>
      </c>
    </row>
    <row r="7" spans="1:7" ht="42" x14ac:dyDescent="0.15">
      <c r="A7" s="26" t="s">
        <v>177</v>
      </c>
      <c r="B7" s="26" t="s">
        <v>178</v>
      </c>
      <c r="C7" s="19" t="s">
        <v>341</v>
      </c>
      <c r="D7" s="19" t="s">
        <v>342</v>
      </c>
      <c r="E7" s="19" t="s">
        <v>343</v>
      </c>
      <c r="F7" s="19" t="s">
        <v>344</v>
      </c>
      <c r="G7" s="19" t="s">
        <v>345</v>
      </c>
    </row>
    <row r="8" spans="1:7" ht="42" x14ac:dyDescent="0.15">
      <c r="A8" s="26" t="s">
        <v>185</v>
      </c>
      <c r="B8" s="26" t="s">
        <v>186</v>
      </c>
      <c r="C8" s="19" t="s">
        <v>346</v>
      </c>
      <c r="D8" s="19" t="s">
        <v>347</v>
      </c>
      <c r="E8" s="19" t="s">
        <v>348</v>
      </c>
      <c r="F8" s="19" t="s">
        <v>349</v>
      </c>
      <c r="G8" s="19" t="s">
        <v>350</v>
      </c>
    </row>
    <row r="9" spans="1:7" ht="56" x14ac:dyDescent="0.15">
      <c r="A9" s="26" t="s">
        <v>193</v>
      </c>
      <c r="B9" s="26" t="s">
        <v>194</v>
      </c>
      <c r="C9" s="19" t="s">
        <v>351</v>
      </c>
      <c r="D9" s="19" t="s">
        <v>352</v>
      </c>
      <c r="E9" s="19" t="s">
        <v>353</v>
      </c>
      <c r="F9" s="19" t="s">
        <v>354</v>
      </c>
      <c r="G9" s="19" t="s">
        <v>355</v>
      </c>
    </row>
    <row r="10" spans="1:7" ht="42" x14ac:dyDescent="0.15">
      <c r="A10" s="26" t="s">
        <v>202</v>
      </c>
      <c r="B10" s="26" t="s">
        <v>203</v>
      </c>
      <c r="C10" s="19" t="s">
        <v>356</v>
      </c>
      <c r="D10" s="19" t="s">
        <v>357</v>
      </c>
      <c r="E10" s="19" t="s">
        <v>358</v>
      </c>
      <c r="F10" s="19" t="s">
        <v>359</v>
      </c>
      <c r="G10" s="19" t="s">
        <v>360</v>
      </c>
    </row>
    <row r="11" spans="1:7" ht="42" x14ac:dyDescent="0.15">
      <c r="A11" s="26" t="s">
        <v>211</v>
      </c>
      <c r="B11" s="26" t="s">
        <v>212</v>
      </c>
      <c r="C11" s="19" t="s">
        <v>361</v>
      </c>
      <c r="D11" s="19" t="s">
        <v>362</v>
      </c>
      <c r="E11" s="19" t="s">
        <v>363</v>
      </c>
      <c r="F11" s="19" t="s">
        <v>364</v>
      </c>
      <c r="G11" s="19" t="s">
        <v>365</v>
      </c>
    </row>
    <row r="12" spans="1:7" ht="56" x14ac:dyDescent="0.15">
      <c r="A12" s="26" t="s">
        <v>220</v>
      </c>
      <c r="B12" s="26" t="s">
        <v>221</v>
      </c>
      <c r="C12" s="19" t="s">
        <v>366</v>
      </c>
      <c r="D12" s="19" t="s">
        <v>367</v>
      </c>
      <c r="E12" s="19" t="s">
        <v>368</v>
      </c>
      <c r="F12" s="19" t="s">
        <v>369</v>
      </c>
      <c r="G12" s="19" t="s">
        <v>370</v>
      </c>
    </row>
    <row r="13" spans="1:7" ht="42" x14ac:dyDescent="0.15">
      <c r="A13" s="26" t="s">
        <v>230</v>
      </c>
      <c r="B13" s="26" t="s">
        <v>231</v>
      </c>
      <c r="C13" s="19" t="s">
        <v>371</v>
      </c>
      <c r="D13" s="19" t="s">
        <v>372</v>
      </c>
      <c r="E13" s="19" t="s">
        <v>373</v>
      </c>
      <c r="F13" s="19" t="s">
        <v>374</v>
      </c>
      <c r="G13" s="19" t="s">
        <v>375</v>
      </c>
    </row>
    <row r="14" spans="1:7" ht="42" x14ac:dyDescent="0.15">
      <c r="A14" s="26" t="s">
        <v>239</v>
      </c>
      <c r="B14" s="26" t="s">
        <v>240</v>
      </c>
      <c r="C14" s="19" t="s">
        <v>376</v>
      </c>
      <c r="D14" s="19" t="s">
        <v>377</v>
      </c>
      <c r="E14" s="19" t="s">
        <v>378</v>
      </c>
      <c r="F14" s="19" t="s">
        <v>379</v>
      </c>
      <c r="G14" s="19" t="s">
        <v>380</v>
      </c>
    </row>
    <row r="15" spans="1:7" ht="56" x14ac:dyDescent="0.15">
      <c r="A15" s="26" t="s">
        <v>248</v>
      </c>
      <c r="B15" s="26" t="s">
        <v>249</v>
      </c>
      <c r="C15" s="19" t="s">
        <v>381</v>
      </c>
      <c r="D15" s="19" t="s">
        <v>382</v>
      </c>
      <c r="E15" s="19" t="s">
        <v>383</v>
      </c>
      <c r="F15" s="19" t="s">
        <v>384</v>
      </c>
      <c r="G15" s="19" t="s">
        <v>385</v>
      </c>
    </row>
    <row r="16" spans="1:7" ht="56" x14ac:dyDescent="0.15">
      <c r="A16" s="26" t="s">
        <v>256</v>
      </c>
      <c r="B16" s="26" t="s">
        <v>257</v>
      </c>
      <c r="C16" s="19" t="s">
        <v>386</v>
      </c>
      <c r="D16" s="19" t="s">
        <v>387</v>
      </c>
      <c r="E16" s="19" t="s">
        <v>388</v>
      </c>
      <c r="F16" s="19" t="s">
        <v>389</v>
      </c>
      <c r="G16" s="19" t="s">
        <v>390</v>
      </c>
    </row>
    <row r="17" spans="1:7" ht="42" x14ac:dyDescent="0.15">
      <c r="A17" s="26" t="s">
        <v>264</v>
      </c>
      <c r="B17" s="26" t="s">
        <v>265</v>
      </c>
      <c r="C17" s="19" t="s">
        <v>391</v>
      </c>
      <c r="D17" s="19" t="s">
        <v>392</v>
      </c>
      <c r="E17" s="19" t="s">
        <v>393</v>
      </c>
      <c r="F17" s="19" t="s">
        <v>394</v>
      </c>
      <c r="G17" s="19" t="s">
        <v>395</v>
      </c>
    </row>
    <row r="18" spans="1:7" ht="42" x14ac:dyDescent="0.15">
      <c r="A18" s="26" t="s">
        <v>272</v>
      </c>
      <c r="B18" s="26" t="s">
        <v>273</v>
      </c>
      <c r="C18" s="19" t="s">
        <v>396</v>
      </c>
      <c r="D18" s="19" t="s">
        <v>397</v>
      </c>
      <c r="E18" s="19" t="s">
        <v>398</v>
      </c>
      <c r="F18" s="19" t="s">
        <v>399</v>
      </c>
      <c r="G18" s="19" t="s">
        <v>400</v>
      </c>
    </row>
    <row r="19" spans="1:7" ht="42" x14ac:dyDescent="0.15">
      <c r="A19" s="26" t="s">
        <v>280</v>
      </c>
      <c r="B19" s="26" t="s">
        <v>281</v>
      </c>
      <c r="C19" s="19" t="s">
        <v>401</v>
      </c>
      <c r="D19" s="19" t="s">
        <v>402</v>
      </c>
      <c r="E19" s="19" t="s">
        <v>403</v>
      </c>
      <c r="F19" s="19" t="s">
        <v>404</v>
      </c>
      <c r="G19" s="19" t="s">
        <v>405</v>
      </c>
    </row>
    <row r="20" spans="1:7" ht="42" x14ac:dyDescent="0.15">
      <c r="A20" s="26" t="s">
        <v>287</v>
      </c>
      <c r="B20" s="26" t="s">
        <v>288</v>
      </c>
      <c r="C20" s="19" t="s">
        <v>406</v>
      </c>
      <c r="D20" s="19" t="s">
        <v>407</v>
      </c>
      <c r="E20" s="19" t="s">
        <v>408</v>
      </c>
      <c r="F20" s="19" t="s">
        <v>409</v>
      </c>
      <c r="G20" s="19" t="s">
        <v>410</v>
      </c>
    </row>
    <row r="21" spans="1:7" ht="42" x14ac:dyDescent="0.15">
      <c r="A21" s="26" t="s">
        <v>294</v>
      </c>
      <c r="B21" s="26" t="s">
        <v>295</v>
      </c>
      <c r="C21" s="19" t="s">
        <v>411</v>
      </c>
      <c r="D21" s="19" t="s">
        <v>412</v>
      </c>
      <c r="E21" s="19" t="s">
        <v>413</v>
      </c>
      <c r="F21" s="19" t="s">
        <v>414</v>
      </c>
      <c r="G21" s="19" t="s">
        <v>415</v>
      </c>
    </row>
    <row r="22" spans="1:7" ht="56" x14ac:dyDescent="0.15">
      <c r="A22" s="26" t="s">
        <v>301</v>
      </c>
      <c r="B22" s="26" t="s">
        <v>302</v>
      </c>
      <c r="C22" s="19" t="s">
        <v>416</v>
      </c>
      <c r="D22" s="19" t="s">
        <v>417</v>
      </c>
      <c r="E22" s="19" t="s">
        <v>418</v>
      </c>
      <c r="F22" s="19" t="s">
        <v>419</v>
      </c>
      <c r="G22" s="19" t="s">
        <v>420</v>
      </c>
    </row>
  </sheetData>
  <pageMargins left="0.4" right="0.4" top="0.5" bottom="0.5" header="0.511811023622047" footer="0.5"/>
  <pageSetup paperSize="9" fitToHeight="0" orientation="landscape" horizontalDpi="300" verticalDpi="300"/>
  <headerFooter>
    <oddFooter>&amp;L&amp;8 CTO Consulting | Operating Model Assessment Toolkit&amp;R&amp;8 &amp;A |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B6E7E"/>
    <pageSetUpPr fitToPage="1"/>
  </sheetPr>
  <dimension ref="A1:M66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8.6640625" defaultRowHeight="13" x14ac:dyDescent="0.15"/>
  <cols>
    <col min="1" max="1" width="9" customWidth="1"/>
    <col min="2" max="2" width="20" customWidth="1"/>
    <col min="3" max="3" width="24" customWidth="1"/>
    <col min="4" max="4" width="18" customWidth="1"/>
    <col min="5" max="5" width="26" customWidth="1"/>
    <col min="6" max="7" width="11" customWidth="1"/>
    <col min="8" max="8" width="16" customWidth="1"/>
    <col min="9" max="9" width="18" customWidth="1"/>
    <col min="10" max="10" width="12" customWidth="1"/>
    <col min="11" max="11" width="16" customWidth="1"/>
    <col min="12" max="12" width="14" customWidth="1"/>
    <col min="13" max="13" width="44" customWidth="1"/>
  </cols>
  <sheetData>
    <row r="1" spans="1:13" ht="27.75" customHeight="1" x14ac:dyDescent="0.15">
      <c r="A1" s="33" t="s">
        <v>421</v>
      </c>
    </row>
    <row r="2" spans="1:13" x14ac:dyDescent="0.15">
      <c r="A2" s="34" t="s">
        <v>422</v>
      </c>
    </row>
    <row r="3" spans="1:13" x14ac:dyDescent="0.15">
      <c r="A3" s="38" t="s">
        <v>423</v>
      </c>
    </row>
    <row r="5" spans="1:13" ht="31.5" customHeight="1" x14ac:dyDescent="0.15">
      <c r="A5" s="20" t="s">
        <v>424</v>
      </c>
      <c r="B5" s="20" t="s">
        <v>425</v>
      </c>
      <c r="C5" s="20" t="s">
        <v>426</v>
      </c>
      <c r="D5" s="20" t="s">
        <v>427</v>
      </c>
      <c r="E5" s="20" t="s">
        <v>428</v>
      </c>
      <c r="F5" s="20" t="s">
        <v>429</v>
      </c>
      <c r="G5" s="20" t="s">
        <v>430</v>
      </c>
      <c r="H5" s="20" t="s">
        <v>431</v>
      </c>
      <c r="I5" s="20" t="s">
        <v>432</v>
      </c>
      <c r="J5" s="20" t="s">
        <v>433</v>
      </c>
      <c r="K5" s="20" t="s">
        <v>434</v>
      </c>
      <c r="L5" s="20" t="s">
        <v>149</v>
      </c>
      <c r="M5" s="20" t="s">
        <v>435</v>
      </c>
    </row>
    <row r="6" spans="1:13" ht="28" x14ac:dyDescent="0.15">
      <c r="A6" s="39" t="s">
        <v>436</v>
      </c>
      <c r="B6" s="25" t="s">
        <v>437</v>
      </c>
      <c r="C6" s="25" t="s">
        <v>438</v>
      </c>
      <c r="D6" s="25" t="s">
        <v>439</v>
      </c>
      <c r="E6" s="25" t="s">
        <v>440</v>
      </c>
      <c r="F6" s="40" t="s">
        <v>441</v>
      </c>
      <c r="G6" s="40" t="s">
        <v>441</v>
      </c>
      <c r="H6" s="41" t="str">
        <f t="shared" ref="H6:H37" si="0">IF(OR(F6="",G6=""),"",IF(AND(F6="High",G6="High"),"Manage closely",IF(F6="High","Keep satisfied",IF(G6="High","Keep informed","Monitor"))))</f>
        <v>Manage closely</v>
      </c>
      <c r="I6" s="25" t="s">
        <v>442</v>
      </c>
      <c r="J6" s="42">
        <v>46309</v>
      </c>
      <c r="K6" s="25" t="s">
        <v>443</v>
      </c>
      <c r="L6" s="40" t="s">
        <v>444</v>
      </c>
      <c r="M6" s="25" t="s">
        <v>445</v>
      </c>
    </row>
    <row r="7" spans="1:13" ht="14" x14ac:dyDescent="0.15">
      <c r="A7" s="43" t="s">
        <v>446</v>
      </c>
      <c r="B7" s="22"/>
      <c r="C7" s="22"/>
      <c r="D7" s="22"/>
      <c r="E7" s="22"/>
      <c r="F7" s="44"/>
      <c r="G7" s="44"/>
      <c r="H7" s="23" t="str">
        <f t="shared" si="0"/>
        <v/>
      </c>
      <c r="I7" s="22"/>
      <c r="J7" s="45"/>
      <c r="K7" s="22"/>
      <c r="L7" s="44"/>
      <c r="M7" s="22"/>
    </row>
    <row r="8" spans="1:13" ht="14" x14ac:dyDescent="0.15">
      <c r="A8" s="43" t="s">
        <v>447</v>
      </c>
      <c r="B8" s="22"/>
      <c r="C8" s="22"/>
      <c r="D8" s="22"/>
      <c r="E8" s="22"/>
      <c r="F8" s="44"/>
      <c r="G8" s="44"/>
      <c r="H8" s="23" t="str">
        <f t="shared" si="0"/>
        <v/>
      </c>
      <c r="I8" s="22"/>
      <c r="J8" s="45"/>
      <c r="K8" s="22"/>
      <c r="L8" s="44"/>
      <c r="M8" s="22"/>
    </row>
    <row r="9" spans="1:13" ht="14" x14ac:dyDescent="0.15">
      <c r="A9" s="43" t="s">
        <v>448</v>
      </c>
      <c r="B9" s="22"/>
      <c r="C9" s="22"/>
      <c r="D9" s="22"/>
      <c r="E9" s="22"/>
      <c r="F9" s="44"/>
      <c r="G9" s="44"/>
      <c r="H9" s="23" t="str">
        <f t="shared" si="0"/>
        <v/>
      </c>
      <c r="I9" s="22"/>
      <c r="J9" s="45"/>
      <c r="K9" s="22"/>
      <c r="L9" s="44"/>
      <c r="M9" s="22"/>
    </row>
    <row r="10" spans="1:13" ht="14" x14ac:dyDescent="0.15">
      <c r="A10" s="43" t="s">
        <v>449</v>
      </c>
      <c r="B10" s="22"/>
      <c r="C10" s="22"/>
      <c r="D10" s="22"/>
      <c r="E10" s="22"/>
      <c r="F10" s="44"/>
      <c r="G10" s="44"/>
      <c r="H10" s="23" t="str">
        <f t="shared" si="0"/>
        <v/>
      </c>
      <c r="I10" s="22"/>
      <c r="J10" s="45"/>
      <c r="K10" s="22"/>
      <c r="L10" s="44"/>
      <c r="M10" s="22"/>
    </row>
    <row r="11" spans="1:13" ht="14" x14ac:dyDescent="0.15">
      <c r="A11" s="43" t="s">
        <v>450</v>
      </c>
      <c r="B11" s="22"/>
      <c r="C11" s="22"/>
      <c r="D11" s="22"/>
      <c r="E11" s="22"/>
      <c r="F11" s="44"/>
      <c r="G11" s="44"/>
      <c r="H11" s="23" t="str">
        <f t="shared" si="0"/>
        <v/>
      </c>
      <c r="I11" s="22"/>
      <c r="J11" s="45"/>
      <c r="K11" s="22"/>
      <c r="L11" s="44"/>
      <c r="M11" s="22"/>
    </row>
    <row r="12" spans="1:13" ht="14" x14ac:dyDescent="0.15">
      <c r="A12" s="43" t="s">
        <v>451</v>
      </c>
      <c r="B12" s="22"/>
      <c r="C12" s="22"/>
      <c r="D12" s="22"/>
      <c r="E12" s="22"/>
      <c r="F12" s="44"/>
      <c r="G12" s="44"/>
      <c r="H12" s="23" t="str">
        <f t="shared" si="0"/>
        <v/>
      </c>
      <c r="I12" s="22"/>
      <c r="J12" s="45"/>
      <c r="K12" s="22"/>
      <c r="L12" s="44"/>
      <c r="M12" s="22"/>
    </row>
    <row r="13" spans="1:13" ht="14" x14ac:dyDescent="0.15">
      <c r="A13" s="43" t="s">
        <v>452</v>
      </c>
      <c r="B13" s="22"/>
      <c r="C13" s="22"/>
      <c r="D13" s="22"/>
      <c r="E13" s="22"/>
      <c r="F13" s="44"/>
      <c r="G13" s="44"/>
      <c r="H13" s="23" t="str">
        <f t="shared" si="0"/>
        <v/>
      </c>
      <c r="I13" s="22"/>
      <c r="J13" s="45"/>
      <c r="K13" s="22"/>
      <c r="L13" s="44"/>
      <c r="M13" s="22"/>
    </row>
    <row r="14" spans="1:13" ht="14" x14ac:dyDescent="0.15">
      <c r="A14" s="43" t="s">
        <v>453</v>
      </c>
      <c r="B14" s="22"/>
      <c r="C14" s="22"/>
      <c r="D14" s="22"/>
      <c r="E14" s="22"/>
      <c r="F14" s="44"/>
      <c r="G14" s="44"/>
      <c r="H14" s="23" t="str">
        <f t="shared" si="0"/>
        <v/>
      </c>
      <c r="I14" s="22"/>
      <c r="J14" s="45"/>
      <c r="K14" s="22"/>
      <c r="L14" s="44"/>
      <c r="M14" s="22"/>
    </row>
    <row r="15" spans="1:13" ht="14" x14ac:dyDescent="0.15">
      <c r="A15" s="43" t="s">
        <v>454</v>
      </c>
      <c r="B15" s="22"/>
      <c r="C15" s="22"/>
      <c r="D15" s="22"/>
      <c r="E15" s="22"/>
      <c r="F15" s="44"/>
      <c r="G15" s="44"/>
      <c r="H15" s="23" t="str">
        <f t="shared" si="0"/>
        <v/>
      </c>
      <c r="I15" s="22"/>
      <c r="J15" s="45"/>
      <c r="K15" s="22"/>
      <c r="L15" s="44"/>
      <c r="M15" s="22"/>
    </row>
    <row r="16" spans="1:13" ht="14" x14ac:dyDescent="0.15">
      <c r="A16" s="43" t="s">
        <v>455</v>
      </c>
      <c r="B16" s="22"/>
      <c r="C16" s="22"/>
      <c r="D16" s="22"/>
      <c r="E16" s="22"/>
      <c r="F16" s="44"/>
      <c r="G16" s="44"/>
      <c r="H16" s="23" t="str">
        <f t="shared" si="0"/>
        <v/>
      </c>
      <c r="I16" s="22"/>
      <c r="J16" s="45"/>
      <c r="K16" s="22"/>
      <c r="L16" s="44"/>
      <c r="M16" s="22"/>
    </row>
    <row r="17" spans="1:13" ht="14" x14ac:dyDescent="0.15">
      <c r="A17" s="43" t="s">
        <v>456</v>
      </c>
      <c r="B17" s="22"/>
      <c r="C17" s="22"/>
      <c r="D17" s="22"/>
      <c r="E17" s="22"/>
      <c r="F17" s="44"/>
      <c r="G17" s="44"/>
      <c r="H17" s="23" t="str">
        <f t="shared" si="0"/>
        <v/>
      </c>
      <c r="I17" s="22"/>
      <c r="J17" s="45"/>
      <c r="K17" s="22"/>
      <c r="L17" s="44"/>
      <c r="M17" s="22"/>
    </row>
    <row r="18" spans="1:13" ht="14" x14ac:dyDescent="0.15">
      <c r="A18" s="43" t="s">
        <v>457</v>
      </c>
      <c r="B18" s="22"/>
      <c r="C18" s="22"/>
      <c r="D18" s="22"/>
      <c r="E18" s="22"/>
      <c r="F18" s="44"/>
      <c r="G18" s="44"/>
      <c r="H18" s="23" t="str">
        <f t="shared" si="0"/>
        <v/>
      </c>
      <c r="I18" s="22"/>
      <c r="J18" s="45"/>
      <c r="K18" s="22"/>
      <c r="L18" s="44"/>
      <c r="M18" s="22"/>
    </row>
    <row r="19" spans="1:13" ht="14" x14ac:dyDescent="0.15">
      <c r="A19" s="43" t="s">
        <v>458</v>
      </c>
      <c r="B19" s="22"/>
      <c r="C19" s="22"/>
      <c r="D19" s="22"/>
      <c r="E19" s="22"/>
      <c r="F19" s="44"/>
      <c r="G19" s="44"/>
      <c r="H19" s="23" t="str">
        <f t="shared" si="0"/>
        <v/>
      </c>
      <c r="I19" s="22"/>
      <c r="J19" s="45"/>
      <c r="K19" s="22"/>
      <c r="L19" s="44"/>
      <c r="M19" s="22"/>
    </row>
    <row r="20" spans="1:13" ht="14" x14ac:dyDescent="0.15">
      <c r="A20" s="43" t="s">
        <v>459</v>
      </c>
      <c r="B20" s="22"/>
      <c r="C20" s="22"/>
      <c r="D20" s="22"/>
      <c r="E20" s="22"/>
      <c r="F20" s="44"/>
      <c r="G20" s="44"/>
      <c r="H20" s="23" t="str">
        <f t="shared" si="0"/>
        <v/>
      </c>
      <c r="I20" s="22"/>
      <c r="J20" s="45"/>
      <c r="K20" s="22"/>
      <c r="L20" s="44"/>
      <c r="M20" s="22"/>
    </row>
    <row r="21" spans="1:13" ht="14" x14ac:dyDescent="0.15">
      <c r="A21" s="43" t="s">
        <v>460</v>
      </c>
      <c r="B21" s="22"/>
      <c r="C21" s="22"/>
      <c r="D21" s="22"/>
      <c r="E21" s="22"/>
      <c r="F21" s="44"/>
      <c r="G21" s="44"/>
      <c r="H21" s="23" t="str">
        <f t="shared" si="0"/>
        <v/>
      </c>
      <c r="I21" s="22"/>
      <c r="J21" s="45"/>
      <c r="K21" s="22"/>
      <c r="L21" s="44"/>
      <c r="M21" s="22"/>
    </row>
    <row r="22" spans="1:13" ht="14" x14ac:dyDescent="0.15">
      <c r="A22" s="43" t="s">
        <v>461</v>
      </c>
      <c r="B22" s="22"/>
      <c r="C22" s="22"/>
      <c r="D22" s="22"/>
      <c r="E22" s="22"/>
      <c r="F22" s="44"/>
      <c r="G22" s="44"/>
      <c r="H22" s="23" t="str">
        <f t="shared" si="0"/>
        <v/>
      </c>
      <c r="I22" s="22"/>
      <c r="J22" s="45"/>
      <c r="K22" s="22"/>
      <c r="L22" s="44"/>
      <c r="M22" s="22"/>
    </row>
    <row r="23" spans="1:13" ht="14" x14ac:dyDescent="0.15">
      <c r="A23" s="43" t="s">
        <v>462</v>
      </c>
      <c r="B23" s="22"/>
      <c r="C23" s="22"/>
      <c r="D23" s="22"/>
      <c r="E23" s="22"/>
      <c r="F23" s="44"/>
      <c r="G23" s="44"/>
      <c r="H23" s="23" t="str">
        <f t="shared" si="0"/>
        <v/>
      </c>
      <c r="I23" s="22"/>
      <c r="J23" s="45"/>
      <c r="K23" s="22"/>
      <c r="L23" s="44"/>
      <c r="M23" s="22"/>
    </row>
    <row r="24" spans="1:13" ht="14" x14ac:dyDescent="0.15">
      <c r="A24" s="43" t="s">
        <v>463</v>
      </c>
      <c r="B24" s="22"/>
      <c r="C24" s="22"/>
      <c r="D24" s="22"/>
      <c r="E24" s="22"/>
      <c r="F24" s="44"/>
      <c r="G24" s="44"/>
      <c r="H24" s="23" t="str">
        <f t="shared" si="0"/>
        <v/>
      </c>
      <c r="I24" s="22"/>
      <c r="J24" s="45"/>
      <c r="K24" s="22"/>
      <c r="L24" s="44"/>
      <c r="M24" s="22"/>
    </row>
    <row r="25" spans="1:13" ht="14" x14ac:dyDescent="0.15">
      <c r="A25" s="43" t="s">
        <v>464</v>
      </c>
      <c r="B25" s="22"/>
      <c r="C25" s="22"/>
      <c r="D25" s="22"/>
      <c r="E25" s="22"/>
      <c r="F25" s="44"/>
      <c r="G25" s="44"/>
      <c r="H25" s="23" t="str">
        <f t="shared" si="0"/>
        <v/>
      </c>
      <c r="I25" s="22"/>
      <c r="J25" s="45"/>
      <c r="K25" s="22"/>
      <c r="L25" s="44"/>
      <c r="M25" s="22"/>
    </row>
    <row r="26" spans="1:13" ht="14" x14ac:dyDescent="0.15">
      <c r="A26" s="43" t="s">
        <v>465</v>
      </c>
      <c r="B26" s="22"/>
      <c r="C26" s="22"/>
      <c r="D26" s="22"/>
      <c r="E26" s="22"/>
      <c r="F26" s="44"/>
      <c r="G26" s="44"/>
      <c r="H26" s="23" t="str">
        <f t="shared" si="0"/>
        <v/>
      </c>
      <c r="I26" s="22"/>
      <c r="J26" s="45"/>
      <c r="K26" s="22"/>
      <c r="L26" s="44"/>
      <c r="M26" s="22"/>
    </row>
    <row r="27" spans="1:13" ht="14" x14ac:dyDescent="0.15">
      <c r="A27" s="43" t="s">
        <v>466</v>
      </c>
      <c r="B27" s="22"/>
      <c r="C27" s="22"/>
      <c r="D27" s="22"/>
      <c r="E27" s="22"/>
      <c r="F27" s="44"/>
      <c r="G27" s="44"/>
      <c r="H27" s="23" t="str">
        <f t="shared" si="0"/>
        <v/>
      </c>
      <c r="I27" s="22"/>
      <c r="J27" s="45"/>
      <c r="K27" s="22"/>
      <c r="L27" s="44"/>
      <c r="M27" s="22"/>
    </row>
    <row r="28" spans="1:13" ht="14" x14ac:dyDescent="0.15">
      <c r="A28" s="43" t="s">
        <v>467</v>
      </c>
      <c r="B28" s="22"/>
      <c r="C28" s="22"/>
      <c r="D28" s="22"/>
      <c r="E28" s="22"/>
      <c r="F28" s="44"/>
      <c r="G28" s="44"/>
      <c r="H28" s="23" t="str">
        <f t="shared" si="0"/>
        <v/>
      </c>
      <c r="I28" s="22"/>
      <c r="J28" s="45"/>
      <c r="K28" s="22"/>
      <c r="L28" s="44"/>
      <c r="M28" s="22"/>
    </row>
    <row r="29" spans="1:13" ht="14" x14ac:dyDescent="0.15">
      <c r="A29" s="43" t="s">
        <v>468</v>
      </c>
      <c r="B29" s="22"/>
      <c r="C29" s="22"/>
      <c r="D29" s="22"/>
      <c r="E29" s="22"/>
      <c r="F29" s="44"/>
      <c r="G29" s="44"/>
      <c r="H29" s="23" t="str">
        <f t="shared" si="0"/>
        <v/>
      </c>
      <c r="I29" s="22"/>
      <c r="J29" s="45"/>
      <c r="K29" s="22"/>
      <c r="L29" s="44"/>
      <c r="M29" s="22"/>
    </row>
    <row r="30" spans="1:13" ht="14" x14ac:dyDescent="0.15">
      <c r="A30" s="43" t="s">
        <v>469</v>
      </c>
      <c r="B30" s="22"/>
      <c r="C30" s="22"/>
      <c r="D30" s="22"/>
      <c r="E30" s="22"/>
      <c r="F30" s="44"/>
      <c r="G30" s="44"/>
      <c r="H30" s="23" t="str">
        <f t="shared" si="0"/>
        <v/>
      </c>
      <c r="I30" s="22"/>
      <c r="J30" s="45"/>
      <c r="K30" s="22"/>
      <c r="L30" s="44"/>
      <c r="M30" s="22"/>
    </row>
    <row r="31" spans="1:13" ht="14" x14ac:dyDescent="0.15">
      <c r="A31" s="43" t="s">
        <v>470</v>
      </c>
      <c r="B31" s="22"/>
      <c r="C31" s="22"/>
      <c r="D31" s="22"/>
      <c r="E31" s="22"/>
      <c r="F31" s="44"/>
      <c r="G31" s="44"/>
      <c r="H31" s="23" t="str">
        <f t="shared" si="0"/>
        <v/>
      </c>
      <c r="I31" s="22"/>
      <c r="J31" s="45"/>
      <c r="K31" s="22"/>
      <c r="L31" s="44"/>
      <c r="M31" s="22"/>
    </row>
    <row r="32" spans="1:13" ht="14" x14ac:dyDescent="0.15">
      <c r="A32" s="43" t="s">
        <v>471</v>
      </c>
      <c r="B32" s="22"/>
      <c r="C32" s="22"/>
      <c r="D32" s="22"/>
      <c r="E32" s="22"/>
      <c r="F32" s="44"/>
      <c r="G32" s="44"/>
      <c r="H32" s="23" t="str">
        <f t="shared" si="0"/>
        <v/>
      </c>
      <c r="I32" s="22"/>
      <c r="J32" s="45"/>
      <c r="K32" s="22"/>
      <c r="L32" s="44"/>
      <c r="M32" s="22"/>
    </row>
    <row r="33" spans="1:13" ht="14" x14ac:dyDescent="0.15">
      <c r="A33" s="43" t="s">
        <v>472</v>
      </c>
      <c r="B33" s="22"/>
      <c r="C33" s="22"/>
      <c r="D33" s="22"/>
      <c r="E33" s="22"/>
      <c r="F33" s="44"/>
      <c r="G33" s="44"/>
      <c r="H33" s="23" t="str">
        <f t="shared" si="0"/>
        <v/>
      </c>
      <c r="I33" s="22"/>
      <c r="J33" s="45"/>
      <c r="K33" s="22"/>
      <c r="L33" s="44"/>
      <c r="M33" s="22"/>
    </row>
    <row r="34" spans="1:13" ht="14" x14ac:dyDescent="0.15">
      <c r="A34" s="43" t="s">
        <v>473</v>
      </c>
      <c r="B34" s="22"/>
      <c r="C34" s="22"/>
      <c r="D34" s="22"/>
      <c r="E34" s="22"/>
      <c r="F34" s="44"/>
      <c r="G34" s="44"/>
      <c r="H34" s="23" t="str">
        <f t="shared" si="0"/>
        <v/>
      </c>
      <c r="I34" s="22"/>
      <c r="J34" s="45"/>
      <c r="K34" s="22"/>
      <c r="L34" s="44"/>
      <c r="M34" s="22"/>
    </row>
    <row r="35" spans="1:13" ht="14" x14ac:dyDescent="0.15">
      <c r="A35" s="43" t="s">
        <v>474</v>
      </c>
      <c r="B35" s="22"/>
      <c r="C35" s="22"/>
      <c r="D35" s="22"/>
      <c r="E35" s="22"/>
      <c r="F35" s="44"/>
      <c r="G35" s="44"/>
      <c r="H35" s="23" t="str">
        <f t="shared" si="0"/>
        <v/>
      </c>
      <c r="I35" s="22"/>
      <c r="J35" s="45"/>
      <c r="K35" s="22"/>
      <c r="L35" s="44"/>
      <c r="M35" s="22"/>
    </row>
    <row r="36" spans="1:13" ht="14" x14ac:dyDescent="0.15">
      <c r="A36" s="43" t="s">
        <v>475</v>
      </c>
      <c r="B36" s="22"/>
      <c r="C36" s="22"/>
      <c r="D36" s="22"/>
      <c r="E36" s="22"/>
      <c r="F36" s="44"/>
      <c r="G36" s="44"/>
      <c r="H36" s="23" t="str">
        <f t="shared" si="0"/>
        <v/>
      </c>
      <c r="I36" s="22"/>
      <c r="J36" s="45"/>
      <c r="K36" s="22"/>
      <c r="L36" s="44"/>
      <c r="M36" s="22"/>
    </row>
    <row r="37" spans="1:13" ht="14" x14ac:dyDescent="0.15">
      <c r="A37" s="43" t="s">
        <v>476</v>
      </c>
      <c r="B37" s="22"/>
      <c r="C37" s="22"/>
      <c r="D37" s="22"/>
      <c r="E37" s="22"/>
      <c r="F37" s="44"/>
      <c r="G37" s="44"/>
      <c r="H37" s="23" t="str">
        <f t="shared" si="0"/>
        <v/>
      </c>
      <c r="I37" s="22"/>
      <c r="J37" s="45"/>
      <c r="K37" s="22"/>
      <c r="L37" s="44"/>
      <c r="M37" s="22"/>
    </row>
    <row r="38" spans="1:13" ht="14" x14ac:dyDescent="0.15">
      <c r="A38" s="43" t="s">
        <v>477</v>
      </c>
      <c r="B38" s="22"/>
      <c r="C38" s="22"/>
      <c r="D38" s="22"/>
      <c r="E38" s="22"/>
      <c r="F38" s="44"/>
      <c r="G38" s="44"/>
      <c r="H38" s="23" t="str">
        <f t="shared" ref="H38:H69" si="1">IF(OR(F38="",G38=""),"",IF(AND(F38="High",G38="High"),"Manage closely",IF(F38="High","Keep satisfied",IF(G38="High","Keep informed","Monitor"))))</f>
        <v/>
      </c>
      <c r="I38" s="22"/>
      <c r="J38" s="45"/>
      <c r="K38" s="22"/>
      <c r="L38" s="44"/>
      <c r="M38" s="22"/>
    </row>
    <row r="39" spans="1:13" ht="14" x14ac:dyDescent="0.15">
      <c r="A39" s="43" t="s">
        <v>478</v>
      </c>
      <c r="B39" s="22"/>
      <c r="C39" s="22"/>
      <c r="D39" s="22"/>
      <c r="E39" s="22"/>
      <c r="F39" s="44"/>
      <c r="G39" s="44"/>
      <c r="H39" s="23" t="str">
        <f t="shared" si="1"/>
        <v/>
      </c>
      <c r="I39" s="22"/>
      <c r="J39" s="45"/>
      <c r="K39" s="22"/>
      <c r="L39" s="44"/>
      <c r="M39" s="22"/>
    </row>
    <row r="40" spans="1:13" ht="14" x14ac:dyDescent="0.15">
      <c r="A40" s="43" t="s">
        <v>479</v>
      </c>
      <c r="B40" s="22"/>
      <c r="C40" s="22"/>
      <c r="D40" s="22"/>
      <c r="E40" s="22"/>
      <c r="F40" s="44"/>
      <c r="G40" s="44"/>
      <c r="H40" s="23" t="str">
        <f t="shared" si="1"/>
        <v/>
      </c>
      <c r="I40" s="22"/>
      <c r="J40" s="45"/>
      <c r="K40" s="22"/>
      <c r="L40" s="44"/>
      <c r="M40" s="22"/>
    </row>
    <row r="41" spans="1:13" ht="14" x14ac:dyDescent="0.15">
      <c r="A41" s="43" t="s">
        <v>480</v>
      </c>
      <c r="B41" s="22"/>
      <c r="C41" s="22"/>
      <c r="D41" s="22"/>
      <c r="E41" s="22"/>
      <c r="F41" s="44"/>
      <c r="G41" s="44"/>
      <c r="H41" s="23" t="str">
        <f t="shared" si="1"/>
        <v/>
      </c>
      <c r="I41" s="22"/>
      <c r="J41" s="45"/>
      <c r="K41" s="22"/>
      <c r="L41" s="44"/>
      <c r="M41" s="22"/>
    </row>
    <row r="42" spans="1:13" ht="14" x14ac:dyDescent="0.15">
      <c r="A42" s="43" t="s">
        <v>481</v>
      </c>
      <c r="B42" s="22"/>
      <c r="C42" s="22"/>
      <c r="D42" s="22"/>
      <c r="E42" s="22"/>
      <c r="F42" s="44"/>
      <c r="G42" s="44"/>
      <c r="H42" s="23" t="str">
        <f t="shared" si="1"/>
        <v/>
      </c>
      <c r="I42" s="22"/>
      <c r="J42" s="45"/>
      <c r="K42" s="22"/>
      <c r="L42" s="44"/>
      <c r="M42" s="22"/>
    </row>
    <row r="43" spans="1:13" ht="14" x14ac:dyDescent="0.15">
      <c r="A43" s="43" t="s">
        <v>482</v>
      </c>
      <c r="B43" s="22"/>
      <c r="C43" s="22"/>
      <c r="D43" s="22"/>
      <c r="E43" s="22"/>
      <c r="F43" s="44"/>
      <c r="G43" s="44"/>
      <c r="H43" s="23" t="str">
        <f t="shared" si="1"/>
        <v/>
      </c>
      <c r="I43" s="22"/>
      <c r="J43" s="45"/>
      <c r="K43" s="22"/>
      <c r="L43" s="44"/>
      <c r="M43" s="22"/>
    </row>
    <row r="44" spans="1:13" ht="14" x14ac:dyDescent="0.15">
      <c r="A44" s="43" t="s">
        <v>483</v>
      </c>
      <c r="B44" s="22"/>
      <c r="C44" s="22"/>
      <c r="D44" s="22"/>
      <c r="E44" s="22"/>
      <c r="F44" s="44"/>
      <c r="G44" s="44"/>
      <c r="H44" s="23" t="str">
        <f t="shared" si="1"/>
        <v/>
      </c>
      <c r="I44" s="22"/>
      <c r="J44" s="45"/>
      <c r="K44" s="22"/>
      <c r="L44" s="44"/>
      <c r="M44" s="22"/>
    </row>
    <row r="45" spans="1:13" ht="14" x14ac:dyDescent="0.15">
      <c r="A45" s="43" t="s">
        <v>484</v>
      </c>
      <c r="B45" s="22"/>
      <c r="C45" s="22"/>
      <c r="D45" s="22"/>
      <c r="E45" s="22"/>
      <c r="F45" s="44"/>
      <c r="G45" s="44"/>
      <c r="H45" s="23" t="str">
        <f t="shared" si="1"/>
        <v/>
      </c>
      <c r="I45" s="22"/>
      <c r="J45" s="45"/>
      <c r="K45" s="22"/>
      <c r="L45" s="44"/>
      <c r="M45" s="22"/>
    </row>
    <row r="46" spans="1:13" ht="14" x14ac:dyDescent="0.15">
      <c r="A46" s="43" t="s">
        <v>485</v>
      </c>
      <c r="B46" s="22"/>
      <c r="C46" s="22"/>
      <c r="D46" s="22"/>
      <c r="E46" s="22"/>
      <c r="F46" s="44"/>
      <c r="G46" s="44"/>
      <c r="H46" s="23" t="str">
        <f t="shared" si="1"/>
        <v/>
      </c>
      <c r="I46" s="22"/>
      <c r="J46" s="45"/>
      <c r="K46" s="22"/>
      <c r="L46" s="44"/>
      <c r="M46" s="22"/>
    </row>
    <row r="47" spans="1:13" ht="14" x14ac:dyDescent="0.15">
      <c r="A47" s="43" t="s">
        <v>486</v>
      </c>
      <c r="B47" s="22"/>
      <c r="C47" s="22"/>
      <c r="D47" s="22"/>
      <c r="E47" s="22"/>
      <c r="F47" s="44"/>
      <c r="G47" s="44"/>
      <c r="H47" s="23" t="str">
        <f t="shared" si="1"/>
        <v/>
      </c>
      <c r="I47" s="22"/>
      <c r="J47" s="45"/>
      <c r="K47" s="22"/>
      <c r="L47" s="44"/>
      <c r="M47" s="22"/>
    </row>
    <row r="48" spans="1:13" ht="14" x14ac:dyDescent="0.15">
      <c r="A48" s="43" t="s">
        <v>487</v>
      </c>
      <c r="B48" s="22"/>
      <c r="C48" s="22"/>
      <c r="D48" s="22"/>
      <c r="E48" s="22"/>
      <c r="F48" s="44"/>
      <c r="G48" s="44"/>
      <c r="H48" s="23" t="str">
        <f t="shared" si="1"/>
        <v/>
      </c>
      <c r="I48" s="22"/>
      <c r="J48" s="45"/>
      <c r="K48" s="22"/>
      <c r="L48" s="44"/>
      <c r="M48" s="22"/>
    </row>
    <row r="49" spans="1:13" ht="14" x14ac:dyDescent="0.15">
      <c r="A49" s="43" t="s">
        <v>488</v>
      </c>
      <c r="B49" s="22"/>
      <c r="C49" s="22"/>
      <c r="D49" s="22"/>
      <c r="E49" s="22"/>
      <c r="F49" s="44"/>
      <c r="G49" s="44"/>
      <c r="H49" s="23" t="str">
        <f t="shared" si="1"/>
        <v/>
      </c>
      <c r="I49" s="22"/>
      <c r="J49" s="45"/>
      <c r="K49" s="22"/>
      <c r="L49" s="44"/>
      <c r="M49" s="22"/>
    </row>
    <row r="50" spans="1:13" ht="14" x14ac:dyDescent="0.15">
      <c r="A50" s="43" t="s">
        <v>489</v>
      </c>
      <c r="B50" s="22"/>
      <c r="C50" s="22"/>
      <c r="D50" s="22"/>
      <c r="E50" s="22"/>
      <c r="F50" s="44"/>
      <c r="G50" s="44"/>
      <c r="H50" s="23" t="str">
        <f t="shared" si="1"/>
        <v/>
      </c>
      <c r="I50" s="22"/>
      <c r="J50" s="45"/>
      <c r="K50" s="22"/>
      <c r="L50" s="44"/>
      <c r="M50" s="22"/>
    </row>
    <row r="51" spans="1:13" ht="14" x14ac:dyDescent="0.15">
      <c r="A51" s="43" t="s">
        <v>490</v>
      </c>
      <c r="B51" s="22"/>
      <c r="C51" s="22"/>
      <c r="D51" s="22"/>
      <c r="E51" s="22"/>
      <c r="F51" s="44"/>
      <c r="G51" s="44"/>
      <c r="H51" s="23" t="str">
        <f t="shared" si="1"/>
        <v/>
      </c>
      <c r="I51" s="22"/>
      <c r="J51" s="45"/>
      <c r="K51" s="22"/>
      <c r="L51" s="44"/>
      <c r="M51" s="22"/>
    </row>
    <row r="52" spans="1:13" ht="14" x14ac:dyDescent="0.15">
      <c r="A52" s="43" t="s">
        <v>491</v>
      </c>
      <c r="B52" s="22"/>
      <c r="C52" s="22"/>
      <c r="D52" s="22"/>
      <c r="E52" s="22"/>
      <c r="F52" s="44"/>
      <c r="G52" s="44"/>
      <c r="H52" s="23" t="str">
        <f t="shared" si="1"/>
        <v/>
      </c>
      <c r="I52" s="22"/>
      <c r="J52" s="45"/>
      <c r="K52" s="22"/>
      <c r="L52" s="44"/>
      <c r="M52" s="22"/>
    </row>
    <row r="53" spans="1:13" ht="14" x14ac:dyDescent="0.15">
      <c r="A53" s="43" t="s">
        <v>492</v>
      </c>
      <c r="B53" s="22"/>
      <c r="C53" s="22"/>
      <c r="D53" s="22"/>
      <c r="E53" s="22"/>
      <c r="F53" s="44"/>
      <c r="G53" s="44"/>
      <c r="H53" s="23" t="str">
        <f t="shared" si="1"/>
        <v/>
      </c>
      <c r="I53" s="22"/>
      <c r="J53" s="45"/>
      <c r="K53" s="22"/>
      <c r="L53" s="44"/>
      <c r="M53" s="22"/>
    </row>
    <row r="54" spans="1:13" ht="14" x14ac:dyDescent="0.15">
      <c r="A54" s="43" t="s">
        <v>493</v>
      </c>
      <c r="B54" s="22"/>
      <c r="C54" s="22"/>
      <c r="D54" s="22"/>
      <c r="E54" s="22"/>
      <c r="F54" s="44"/>
      <c r="G54" s="44"/>
      <c r="H54" s="23" t="str">
        <f t="shared" si="1"/>
        <v/>
      </c>
      <c r="I54" s="22"/>
      <c r="J54" s="45"/>
      <c r="K54" s="22"/>
      <c r="L54" s="44"/>
      <c r="M54" s="22"/>
    </row>
    <row r="55" spans="1:13" ht="14" x14ac:dyDescent="0.15">
      <c r="A55" s="43" t="s">
        <v>494</v>
      </c>
      <c r="B55" s="22"/>
      <c r="C55" s="22"/>
      <c r="D55" s="22"/>
      <c r="E55" s="22"/>
      <c r="F55" s="44"/>
      <c r="G55" s="44"/>
      <c r="H55" s="23" t="str">
        <f t="shared" si="1"/>
        <v/>
      </c>
      <c r="I55" s="22"/>
      <c r="J55" s="45"/>
      <c r="K55" s="22"/>
      <c r="L55" s="44"/>
      <c r="M55" s="22"/>
    </row>
    <row r="56" spans="1:13" ht="14" x14ac:dyDescent="0.15">
      <c r="A56" s="43" t="s">
        <v>495</v>
      </c>
      <c r="B56" s="22"/>
      <c r="C56" s="22"/>
      <c r="D56" s="22"/>
      <c r="E56" s="22"/>
      <c r="F56" s="44"/>
      <c r="G56" s="44"/>
      <c r="H56" s="23" t="str">
        <f t="shared" si="1"/>
        <v/>
      </c>
      <c r="I56" s="22"/>
      <c r="J56" s="45"/>
      <c r="K56" s="22"/>
      <c r="L56" s="44"/>
      <c r="M56" s="22"/>
    </row>
    <row r="57" spans="1:13" ht="14" x14ac:dyDescent="0.15">
      <c r="A57" s="43" t="s">
        <v>496</v>
      </c>
      <c r="B57" s="22"/>
      <c r="C57" s="22"/>
      <c r="D57" s="22"/>
      <c r="E57" s="22"/>
      <c r="F57" s="44"/>
      <c r="G57" s="44"/>
      <c r="H57" s="23" t="str">
        <f t="shared" si="1"/>
        <v/>
      </c>
      <c r="I57" s="22"/>
      <c r="J57" s="45"/>
      <c r="K57" s="22"/>
      <c r="L57" s="44"/>
      <c r="M57" s="22"/>
    </row>
    <row r="58" spans="1:13" ht="14" x14ac:dyDescent="0.15">
      <c r="A58" s="43" t="s">
        <v>497</v>
      </c>
      <c r="B58" s="22"/>
      <c r="C58" s="22"/>
      <c r="D58" s="22"/>
      <c r="E58" s="22"/>
      <c r="F58" s="44"/>
      <c r="G58" s="44"/>
      <c r="H58" s="23" t="str">
        <f t="shared" si="1"/>
        <v/>
      </c>
      <c r="I58" s="22"/>
      <c r="J58" s="45"/>
      <c r="K58" s="22"/>
      <c r="L58" s="44"/>
      <c r="M58" s="22"/>
    </row>
    <row r="59" spans="1:13" ht="14" x14ac:dyDescent="0.15">
      <c r="A59" s="43" t="s">
        <v>498</v>
      </c>
      <c r="B59" s="22"/>
      <c r="C59" s="22"/>
      <c r="D59" s="22"/>
      <c r="E59" s="22"/>
      <c r="F59" s="44"/>
      <c r="G59" s="44"/>
      <c r="H59" s="23" t="str">
        <f t="shared" si="1"/>
        <v/>
      </c>
      <c r="I59" s="22"/>
      <c r="J59" s="45"/>
      <c r="K59" s="22"/>
      <c r="L59" s="44"/>
      <c r="M59" s="22"/>
    </row>
    <row r="60" spans="1:13" ht="14" x14ac:dyDescent="0.15">
      <c r="A60" s="43" t="s">
        <v>499</v>
      </c>
      <c r="B60" s="22"/>
      <c r="C60" s="22"/>
      <c r="D60" s="22"/>
      <c r="E60" s="22"/>
      <c r="F60" s="44"/>
      <c r="G60" s="44"/>
      <c r="H60" s="23" t="str">
        <f t="shared" si="1"/>
        <v/>
      </c>
      <c r="I60" s="22"/>
      <c r="J60" s="45"/>
      <c r="K60" s="22"/>
      <c r="L60" s="44"/>
      <c r="M60" s="22"/>
    </row>
    <row r="61" spans="1:13" ht="14" x14ac:dyDescent="0.15">
      <c r="A61" s="43" t="s">
        <v>500</v>
      </c>
      <c r="B61" s="22"/>
      <c r="C61" s="22"/>
      <c r="D61" s="22"/>
      <c r="E61" s="22"/>
      <c r="F61" s="44"/>
      <c r="G61" s="44"/>
      <c r="H61" s="23" t="str">
        <f t="shared" si="1"/>
        <v/>
      </c>
      <c r="I61" s="22"/>
      <c r="J61" s="45"/>
      <c r="K61" s="22"/>
      <c r="L61" s="44"/>
      <c r="M61" s="22"/>
    </row>
    <row r="62" spans="1:13" ht="14" x14ac:dyDescent="0.15">
      <c r="A62" s="43" t="s">
        <v>501</v>
      </c>
      <c r="B62" s="22"/>
      <c r="C62" s="22"/>
      <c r="D62" s="22"/>
      <c r="E62" s="22"/>
      <c r="F62" s="44"/>
      <c r="G62" s="44"/>
      <c r="H62" s="23" t="str">
        <f t="shared" si="1"/>
        <v/>
      </c>
      <c r="I62" s="22"/>
      <c r="J62" s="45"/>
      <c r="K62" s="22"/>
      <c r="L62" s="44"/>
      <c r="M62" s="22"/>
    </row>
    <row r="63" spans="1:13" ht="14" x14ac:dyDescent="0.15">
      <c r="A63" s="43" t="s">
        <v>502</v>
      </c>
      <c r="B63" s="22"/>
      <c r="C63" s="22"/>
      <c r="D63" s="22"/>
      <c r="E63" s="22"/>
      <c r="F63" s="44"/>
      <c r="G63" s="44"/>
      <c r="H63" s="23" t="str">
        <f t="shared" si="1"/>
        <v/>
      </c>
      <c r="I63" s="22"/>
      <c r="J63" s="45"/>
      <c r="K63" s="22"/>
      <c r="L63" s="44"/>
      <c r="M63" s="22"/>
    </row>
    <row r="64" spans="1:13" ht="14" x14ac:dyDescent="0.15">
      <c r="A64" s="43" t="s">
        <v>503</v>
      </c>
      <c r="B64" s="22"/>
      <c r="C64" s="22"/>
      <c r="D64" s="22"/>
      <c r="E64" s="22"/>
      <c r="F64" s="44"/>
      <c r="G64" s="44"/>
      <c r="H64" s="23" t="str">
        <f t="shared" si="1"/>
        <v/>
      </c>
      <c r="I64" s="22"/>
      <c r="J64" s="45"/>
      <c r="K64" s="22"/>
      <c r="L64" s="44"/>
      <c r="M64" s="22"/>
    </row>
    <row r="65" spans="1:13" ht="14" x14ac:dyDescent="0.15">
      <c r="A65" s="43" t="s">
        <v>504</v>
      </c>
      <c r="B65" s="22"/>
      <c r="C65" s="22"/>
      <c r="D65" s="22"/>
      <c r="E65" s="22"/>
      <c r="F65" s="44"/>
      <c r="G65" s="44"/>
      <c r="H65" s="23" t="str">
        <f t="shared" si="1"/>
        <v/>
      </c>
      <c r="I65" s="22"/>
      <c r="J65" s="45"/>
      <c r="K65" s="22"/>
      <c r="L65" s="44"/>
      <c r="M65" s="22"/>
    </row>
    <row r="66" spans="1:13" ht="14" x14ac:dyDescent="0.15">
      <c r="A66" s="43" t="s">
        <v>505</v>
      </c>
      <c r="B66" s="22"/>
      <c r="C66" s="22"/>
      <c r="D66" s="22"/>
      <c r="E66" s="22"/>
      <c r="F66" s="44"/>
      <c r="G66" s="44"/>
      <c r="H66" s="23" t="str">
        <f t="shared" si="1"/>
        <v/>
      </c>
      <c r="I66" s="22"/>
      <c r="J66" s="45"/>
      <c r="K66" s="22"/>
      <c r="L66" s="44"/>
      <c r="M66" s="22"/>
    </row>
  </sheetData>
  <autoFilter ref="A5:M66" xr:uid="{00000000-0009-0000-0000-000004000000}"/>
  <conditionalFormatting sqref="H6:H66">
    <cfRule type="cellIs" dxfId="68" priority="2" operator="equal">
      <formula>"Manage closely"</formula>
    </cfRule>
    <cfRule type="cellIs" dxfId="67" priority="3" operator="equal">
      <formula>"Keep satisfied"</formula>
    </cfRule>
    <cfRule type="cellIs" dxfId="66" priority="4" operator="equal">
      <formula>"Keep informed"</formula>
    </cfRule>
    <cfRule type="cellIs" dxfId="65" priority="5" operator="equal">
      <formula>"Monitor"</formula>
    </cfRule>
  </conditionalFormatting>
  <conditionalFormatting sqref="L6:L66">
    <cfRule type="cellIs" dxfId="64" priority="6" operator="equal">
      <formula>"Completed"</formula>
    </cfRule>
    <cfRule type="cellIs" dxfId="63" priority="7" operator="equal">
      <formula>"Scheduled"</formula>
    </cfRule>
    <cfRule type="cellIs" dxfId="62" priority="8" operator="equal">
      <formula>"Cancelled"</formula>
    </cfRule>
  </conditionalFormatting>
  <dataValidations count="1">
    <dataValidation type="date" operator="greaterThan" allowBlank="1" showErrorMessage="1" error="Enter a valid date (dd/mm/yyyy)." sqref="J6:J66" xr:uid="{00000000-0002-0000-0400-000000000000}">
      <formula1>36526</formula1>
      <formula2>0</formula2>
    </dataValidation>
  </dataValidations>
  <pageMargins left="0.4" right="0.4" top="0.5" bottom="0.5" header="0.511811023622047" footer="0.5"/>
  <pageSetup paperSize="9" fitToHeight="0" orientation="landscape" horizontalDpi="300" verticalDpi="300"/>
  <headerFooter>
    <oddFooter>&amp;L&amp;8 CTO Consulting | Operating Model Assessment Toolkit&amp;R&amp;8 &amp;A | 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Invalid entry" error="Please select a value from the list (values are maintained on the Lists tab)." xr:uid="{00000000-0002-0000-0400-000001000000}">
          <x14:formula1>
            <xm:f>Lists!$N$2:$N$11</xm:f>
          </x14:formula1>
          <x14:formula2>
            <xm:f>0</xm:f>
          </x14:formula2>
          <xm:sqref>E6:E66</xm:sqref>
        </x14:dataValidation>
        <x14:dataValidation type="list" allowBlank="1" showErrorMessage="1" errorTitle="Invalid entry" error="Please select a value from the list (values are maintained on the Lists tab)." xr:uid="{00000000-0002-0000-0400-000002000000}">
          <x14:formula1>
            <xm:f>Lists!$D$2:$D$4</xm:f>
          </x14:formula1>
          <x14:formula2>
            <xm:f>0</xm:f>
          </x14:formula2>
          <xm:sqref>F6:G66</xm:sqref>
        </x14:dataValidation>
        <x14:dataValidation type="list" allowBlank="1" showErrorMessage="1" errorTitle="Invalid entry" error="Please select a value from the list (values are maintained on the Lists tab)." xr:uid="{00000000-0002-0000-0400-000003000000}">
          <x14:formula1>
            <xm:f>Lists!$O$2:$O$5</xm:f>
          </x14:formula1>
          <x14:formula2>
            <xm:f>0</xm:f>
          </x14:formula2>
          <xm:sqref>L6:L66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B6E7E"/>
    <pageSetUpPr fitToPage="1"/>
  </sheetPr>
  <dimension ref="A1:F80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8.6640625" defaultRowHeight="13" x14ac:dyDescent="0.15"/>
  <cols>
    <col min="1" max="1" width="32" customWidth="1"/>
    <col min="2" max="2" width="6" customWidth="1"/>
    <col min="3" max="3" width="60" customWidth="1"/>
    <col min="4" max="4" width="14" customWidth="1"/>
    <col min="5" max="5" width="40" customWidth="1"/>
    <col min="6" max="6" width="44" customWidth="1"/>
  </cols>
  <sheetData>
    <row r="1" spans="1:6" ht="27.75" customHeight="1" x14ac:dyDescent="0.15">
      <c r="A1" s="33" t="s">
        <v>33</v>
      </c>
    </row>
    <row r="2" spans="1:6" x14ac:dyDescent="0.15">
      <c r="A2" s="34" t="s">
        <v>506</v>
      </c>
    </row>
    <row r="5" spans="1:6" ht="31.5" customHeight="1" x14ac:dyDescent="0.15">
      <c r="A5" s="20" t="s">
        <v>428</v>
      </c>
      <c r="B5" s="20" t="s">
        <v>507</v>
      </c>
      <c r="C5" s="20" t="s">
        <v>508</v>
      </c>
      <c r="D5" s="20" t="s">
        <v>509</v>
      </c>
      <c r="E5" s="20" t="s">
        <v>510</v>
      </c>
      <c r="F5" s="20" t="s">
        <v>511</v>
      </c>
    </row>
    <row r="6" spans="1:6" ht="28" x14ac:dyDescent="0.15">
      <c r="A6" s="36" t="s">
        <v>512</v>
      </c>
      <c r="B6" s="46">
        <v>1</v>
      </c>
      <c r="C6" s="47" t="s">
        <v>513</v>
      </c>
      <c r="D6" s="46" t="s">
        <v>167</v>
      </c>
      <c r="E6" s="37" t="s">
        <v>514</v>
      </c>
      <c r="F6" s="22"/>
    </row>
    <row r="7" spans="1:6" ht="28" x14ac:dyDescent="0.15">
      <c r="A7" s="47" t="s">
        <v>512</v>
      </c>
      <c r="B7" s="46">
        <v>2</v>
      </c>
      <c r="C7" s="47" t="s">
        <v>515</v>
      </c>
      <c r="D7" s="46" t="s">
        <v>516</v>
      </c>
      <c r="E7" s="37" t="s">
        <v>517</v>
      </c>
      <c r="F7" s="22"/>
    </row>
    <row r="8" spans="1:6" ht="28" x14ac:dyDescent="0.15">
      <c r="A8" s="47" t="s">
        <v>512</v>
      </c>
      <c r="B8" s="46">
        <v>3</v>
      </c>
      <c r="C8" s="47" t="s">
        <v>518</v>
      </c>
      <c r="D8" s="46" t="s">
        <v>220</v>
      </c>
      <c r="E8" s="37" t="s">
        <v>519</v>
      </c>
      <c r="F8" s="22"/>
    </row>
    <row r="9" spans="1:6" ht="28" x14ac:dyDescent="0.15">
      <c r="A9" s="47" t="s">
        <v>512</v>
      </c>
      <c r="B9" s="46">
        <v>4</v>
      </c>
      <c r="C9" s="47" t="s">
        <v>520</v>
      </c>
      <c r="D9" s="46" t="s">
        <v>521</v>
      </c>
      <c r="E9" s="37" t="s">
        <v>522</v>
      </c>
      <c r="F9" s="22"/>
    </row>
    <row r="10" spans="1:6" ht="28" x14ac:dyDescent="0.15">
      <c r="A10" s="47" t="s">
        <v>512</v>
      </c>
      <c r="B10" s="46">
        <v>5</v>
      </c>
      <c r="C10" s="47" t="s">
        <v>523</v>
      </c>
      <c r="D10" s="46" t="s">
        <v>287</v>
      </c>
      <c r="E10" s="37" t="s">
        <v>524</v>
      </c>
      <c r="F10" s="22"/>
    </row>
    <row r="11" spans="1:6" ht="28" x14ac:dyDescent="0.15">
      <c r="A11" s="47" t="s">
        <v>512</v>
      </c>
      <c r="B11" s="46">
        <v>6</v>
      </c>
      <c r="C11" s="47" t="s">
        <v>525</v>
      </c>
      <c r="D11" s="46" t="s">
        <v>301</v>
      </c>
      <c r="E11" s="37" t="s">
        <v>526</v>
      </c>
      <c r="F11" s="22"/>
    </row>
    <row r="12" spans="1:6" ht="28" x14ac:dyDescent="0.15">
      <c r="A12" s="47" t="s">
        <v>512</v>
      </c>
      <c r="B12" s="46">
        <v>7</v>
      </c>
      <c r="C12" s="47" t="s">
        <v>527</v>
      </c>
      <c r="D12" s="46" t="s">
        <v>167</v>
      </c>
      <c r="E12" s="37" t="s">
        <v>528</v>
      </c>
      <c r="F12" s="22"/>
    </row>
    <row r="13" spans="1:6" ht="28" x14ac:dyDescent="0.15">
      <c r="A13" s="48" t="s">
        <v>440</v>
      </c>
      <c r="B13" s="49">
        <v>1</v>
      </c>
      <c r="C13" s="50" t="s">
        <v>529</v>
      </c>
      <c r="D13" s="49" t="s">
        <v>167</v>
      </c>
      <c r="E13" s="51" t="s">
        <v>530</v>
      </c>
      <c r="F13" s="22"/>
    </row>
    <row r="14" spans="1:6" ht="28" x14ac:dyDescent="0.15">
      <c r="A14" s="50" t="s">
        <v>440</v>
      </c>
      <c r="B14" s="49">
        <v>2</v>
      </c>
      <c r="C14" s="50" t="s">
        <v>531</v>
      </c>
      <c r="D14" s="49" t="s">
        <v>532</v>
      </c>
      <c r="E14" s="51" t="s">
        <v>533</v>
      </c>
      <c r="F14" s="22"/>
    </row>
    <row r="15" spans="1:6" ht="28" x14ac:dyDescent="0.15">
      <c r="A15" s="50" t="s">
        <v>440</v>
      </c>
      <c r="B15" s="49">
        <v>3</v>
      </c>
      <c r="C15" s="50" t="s">
        <v>534</v>
      </c>
      <c r="D15" s="49" t="s">
        <v>202</v>
      </c>
      <c r="E15" s="51" t="s">
        <v>535</v>
      </c>
      <c r="F15" s="22"/>
    </row>
    <row r="16" spans="1:6" ht="28" x14ac:dyDescent="0.15">
      <c r="A16" s="50" t="s">
        <v>440</v>
      </c>
      <c r="B16" s="49">
        <v>4</v>
      </c>
      <c r="C16" s="50" t="s">
        <v>536</v>
      </c>
      <c r="D16" s="49" t="s">
        <v>220</v>
      </c>
      <c r="E16" s="51" t="s">
        <v>537</v>
      </c>
      <c r="F16" s="22"/>
    </row>
    <row r="17" spans="1:6" ht="28" x14ac:dyDescent="0.15">
      <c r="A17" s="50" t="s">
        <v>440</v>
      </c>
      <c r="B17" s="49">
        <v>5</v>
      </c>
      <c r="C17" s="50" t="s">
        <v>538</v>
      </c>
      <c r="D17" s="49" t="s">
        <v>539</v>
      </c>
      <c r="E17" s="51" t="s">
        <v>540</v>
      </c>
      <c r="F17" s="22"/>
    </row>
    <row r="18" spans="1:6" ht="14" x14ac:dyDescent="0.15">
      <c r="A18" s="50" t="s">
        <v>440</v>
      </c>
      <c r="B18" s="49">
        <v>6</v>
      </c>
      <c r="C18" s="50" t="s">
        <v>541</v>
      </c>
      <c r="D18" s="49" t="s">
        <v>248</v>
      </c>
      <c r="E18" s="51" t="s">
        <v>542</v>
      </c>
      <c r="F18" s="22"/>
    </row>
    <row r="19" spans="1:6" ht="28" x14ac:dyDescent="0.15">
      <c r="A19" s="50" t="s">
        <v>440</v>
      </c>
      <c r="B19" s="49">
        <v>7</v>
      </c>
      <c r="C19" s="50" t="s">
        <v>543</v>
      </c>
      <c r="D19" s="49" t="s">
        <v>544</v>
      </c>
      <c r="E19" s="51" t="s">
        <v>545</v>
      </c>
      <c r="F19" s="22"/>
    </row>
    <row r="20" spans="1:6" ht="28" x14ac:dyDescent="0.15">
      <c r="A20" s="50" t="s">
        <v>440</v>
      </c>
      <c r="B20" s="49">
        <v>8</v>
      </c>
      <c r="C20" s="50" t="s">
        <v>546</v>
      </c>
      <c r="D20" s="49" t="s">
        <v>334</v>
      </c>
      <c r="E20" s="51" t="s">
        <v>547</v>
      </c>
      <c r="F20" s="22"/>
    </row>
    <row r="21" spans="1:6" ht="28" x14ac:dyDescent="0.15">
      <c r="A21" s="36" t="s">
        <v>548</v>
      </c>
      <c r="B21" s="46">
        <v>1</v>
      </c>
      <c r="C21" s="47" t="s">
        <v>549</v>
      </c>
      <c r="D21" s="46" t="s">
        <v>550</v>
      </c>
      <c r="E21" s="37" t="s">
        <v>551</v>
      </c>
      <c r="F21" s="22"/>
    </row>
    <row r="22" spans="1:6" ht="28" x14ac:dyDescent="0.15">
      <c r="A22" s="47" t="s">
        <v>548</v>
      </c>
      <c r="B22" s="46">
        <v>2</v>
      </c>
      <c r="C22" s="47" t="s">
        <v>552</v>
      </c>
      <c r="D22" s="46" t="s">
        <v>193</v>
      </c>
      <c r="E22" s="37" t="s">
        <v>553</v>
      </c>
      <c r="F22" s="22"/>
    </row>
    <row r="23" spans="1:6" ht="28" x14ac:dyDescent="0.15">
      <c r="A23" s="47" t="s">
        <v>548</v>
      </c>
      <c r="B23" s="46">
        <v>3</v>
      </c>
      <c r="C23" s="47" t="s">
        <v>554</v>
      </c>
      <c r="D23" s="46" t="s">
        <v>555</v>
      </c>
      <c r="E23" s="37" t="s">
        <v>556</v>
      </c>
      <c r="F23" s="22"/>
    </row>
    <row r="24" spans="1:6" ht="28" x14ac:dyDescent="0.15">
      <c r="A24" s="47" t="s">
        <v>548</v>
      </c>
      <c r="B24" s="46">
        <v>4</v>
      </c>
      <c r="C24" s="47" t="s">
        <v>557</v>
      </c>
      <c r="D24" s="46" t="s">
        <v>220</v>
      </c>
      <c r="E24" s="37" t="s">
        <v>558</v>
      </c>
      <c r="F24" s="22"/>
    </row>
    <row r="25" spans="1:6" ht="28" x14ac:dyDescent="0.15">
      <c r="A25" s="47" t="s">
        <v>548</v>
      </c>
      <c r="B25" s="46">
        <v>5</v>
      </c>
      <c r="C25" s="47" t="s">
        <v>559</v>
      </c>
      <c r="D25" s="46" t="s">
        <v>230</v>
      </c>
      <c r="E25" s="37" t="s">
        <v>560</v>
      </c>
      <c r="F25" s="22"/>
    </row>
    <row r="26" spans="1:6" ht="28" x14ac:dyDescent="0.15">
      <c r="A26" s="47" t="s">
        <v>548</v>
      </c>
      <c r="B26" s="46">
        <v>6</v>
      </c>
      <c r="C26" s="47" t="s">
        <v>561</v>
      </c>
      <c r="D26" s="46" t="s">
        <v>562</v>
      </c>
      <c r="E26" s="37" t="s">
        <v>563</v>
      </c>
      <c r="F26" s="22"/>
    </row>
    <row r="27" spans="1:6" ht="28" x14ac:dyDescent="0.15">
      <c r="A27" s="47" t="s">
        <v>548</v>
      </c>
      <c r="B27" s="46">
        <v>7</v>
      </c>
      <c r="C27" s="47" t="s">
        <v>564</v>
      </c>
      <c r="D27" s="46" t="s">
        <v>248</v>
      </c>
      <c r="E27" s="37" t="s">
        <v>565</v>
      </c>
      <c r="F27" s="22"/>
    </row>
    <row r="28" spans="1:6" ht="28" x14ac:dyDescent="0.15">
      <c r="A28" s="47" t="s">
        <v>548</v>
      </c>
      <c r="B28" s="46">
        <v>8</v>
      </c>
      <c r="C28" s="47" t="s">
        <v>566</v>
      </c>
      <c r="D28" s="46" t="s">
        <v>334</v>
      </c>
      <c r="E28" s="37" t="s">
        <v>567</v>
      </c>
      <c r="F28" s="22"/>
    </row>
    <row r="29" spans="1:6" ht="28" x14ac:dyDescent="0.15">
      <c r="A29" s="48" t="s">
        <v>568</v>
      </c>
      <c r="B29" s="49">
        <v>1</v>
      </c>
      <c r="C29" s="50" t="s">
        <v>569</v>
      </c>
      <c r="D29" s="49" t="s">
        <v>570</v>
      </c>
      <c r="E29" s="51" t="s">
        <v>571</v>
      </c>
      <c r="F29" s="22"/>
    </row>
    <row r="30" spans="1:6" ht="28" x14ac:dyDescent="0.15">
      <c r="A30" s="50" t="s">
        <v>568</v>
      </c>
      <c r="B30" s="49">
        <v>2</v>
      </c>
      <c r="C30" s="50" t="s">
        <v>572</v>
      </c>
      <c r="D30" s="49" t="s">
        <v>573</v>
      </c>
      <c r="E30" s="51" t="s">
        <v>574</v>
      </c>
      <c r="F30" s="22"/>
    </row>
    <row r="31" spans="1:6" ht="14" x14ac:dyDescent="0.15">
      <c r="A31" s="50" t="s">
        <v>568</v>
      </c>
      <c r="B31" s="49">
        <v>3</v>
      </c>
      <c r="C31" s="50" t="s">
        <v>575</v>
      </c>
      <c r="D31" s="49" t="s">
        <v>555</v>
      </c>
      <c r="E31" s="51" t="s">
        <v>576</v>
      </c>
      <c r="F31" s="22"/>
    </row>
    <row r="32" spans="1:6" ht="28" x14ac:dyDescent="0.15">
      <c r="A32" s="50" t="s">
        <v>568</v>
      </c>
      <c r="B32" s="49">
        <v>4</v>
      </c>
      <c r="C32" s="50" t="s">
        <v>577</v>
      </c>
      <c r="D32" s="49" t="s">
        <v>578</v>
      </c>
      <c r="E32" s="51" t="s">
        <v>579</v>
      </c>
      <c r="F32" s="22"/>
    </row>
    <row r="33" spans="1:6" ht="14" x14ac:dyDescent="0.15">
      <c r="A33" s="50" t="s">
        <v>568</v>
      </c>
      <c r="B33" s="49">
        <v>5</v>
      </c>
      <c r="C33" s="50" t="s">
        <v>580</v>
      </c>
      <c r="D33" s="49" t="s">
        <v>177</v>
      </c>
      <c r="E33" s="51" t="s">
        <v>581</v>
      </c>
      <c r="F33" s="22"/>
    </row>
    <row r="34" spans="1:6" ht="14" x14ac:dyDescent="0.15">
      <c r="A34" s="50" t="s">
        <v>568</v>
      </c>
      <c r="B34" s="49">
        <v>6</v>
      </c>
      <c r="C34" s="50" t="s">
        <v>582</v>
      </c>
      <c r="D34" s="49" t="s">
        <v>583</v>
      </c>
      <c r="E34" s="51" t="s">
        <v>584</v>
      </c>
      <c r="F34" s="22"/>
    </row>
    <row r="35" spans="1:6" ht="28" x14ac:dyDescent="0.15">
      <c r="A35" s="50" t="s">
        <v>568</v>
      </c>
      <c r="B35" s="49">
        <v>7</v>
      </c>
      <c r="C35" s="50" t="s">
        <v>585</v>
      </c>
      <c r="D35" s="49" t="s">
        <v>239</v>
      </c>
      <c r="E35" s="51" t="s">
        <v>586</v>
      </c>
      <c r="F35" s="22"/>
    </row>
    <row r="36" spans="1:6" ht="28" x14ac:dyDescent="0.15">
      <c r="A36" s="50" t="s">
        <v>568</v>
      </c>
      <c r="B36" s="49">
        <v>8</v>
      </c>
      <c r="C36" s="50" t="s">
        <v>587</v>
      </c>
      <c r="D36" s="49" t="s">
        <v>334</v>
      </c>
      <c r="E36" s="51" t="s">
        <v>588</v>
      </c>
      <c r="F36" s="22"/>
    </row>
    <row r="37" spans="1:6" ht="28" x14ac:dyDescent="0.15">
      <c r="A37" s="36" t="s">
        <v>589</v>
      </c>
      <c r="B37" s="46">
        <v>1</v>
      </c>
      <c r="C37" s="47" t="s">
        <v>590</v>
      </c>
      <c r="D37" s="46" t="s">
        <v>294</v>
      </c>
      <c r="E37" s="37" t="s">
        <v>591</v>
      </c>
      <c r="F37" s="22"/>
    </row>
    <row r="38" spans="1:6" ht="28" x14ac:dyDescent="0.15">
      <c r="A38" s="47" t="s">
        <v>589</v>
      </c>
      <c r="B38" s="46">
        <v>2</v>
      </c>
      <c r="C38" s="47" t="s">
        <v>592</v>
      </c>
      <c r="D38" s="46" t="s">
        <v>593</v>
      </c>
      <c r="E38" s="37" t="s">
        <v>594</v>
      </c>
      <c r="F38" s="22"/>
    </row>
    <row r="39" spans="1:6" ht="14" x14ac:dyDescent="0.15">
      <c r="A39" s="47" t="s">
        <v>589</v>
      </c>
      <c r="B39" s="46">
        <v>3</v>
      </c>
      <c r="C39" s="47" t="s">
        <v>595</v>
      </c>
      <c r="D39" s="46" t="s">
        <v>596</v>
      </c>
      <c r="E39" s="37" t="s">
        <v>597</v>
      </c>
      <c r="F39" s="22"/>
    </row>
    <row r="40" spans="1:6" ht="28" x14ac:dyDescent="0.15">
      <c r="A40" s="47" t="s">
        <v>589</v>
      </c>
      <c r="B40" s="46">
        <v>4</v>
      </c>
      <c r="C40" s="47" t="s">
        <v>598</v>
      </c>
      <c r="D40" s="46" t="s">
        <v>599</v>
      </c>
      <c r="E40" s="37" t="s">
        <v>600</v>
      </c>
      <c r="F40" s="22"/>
    </row>
    <row r="41" spans="1:6" ht="14" x14ac:dyDescent="0.15">
      <c r="A41" s="47" t="s">
        <v>589</v>
      </c>
      <c r="B41" s="46">
        <v>5</v>
      </c>
      <c r="C41" s="47" t="s">
        <v>601</v>
      </c>
      <c r="D41" s="46" t="s">
        <v>602</v>
      </c>
      <c r="E41" s="37" t="s">
        <v>603</v>
      </c>
      <c r="F41" s="22"/>
    </row>
    <row r="42" spans="1:6" ht="14" x14ac:dyDescent="0.15">
      <c r="A42" s="47" t="s">
        <v>589</v>
      </c>
      <c r="B42" s="46">
        <v>6</v>
      </c>
      <c r="C42" s="47" t="s">
        <v>604</v>
      </c>
      <c r="D42" s="46" t="s">
        <v>605</v>
      </c>
      <c r="E42" s="37" t="s">
        <v>606</v>
      </c>
      <c r="F42" s="22"/>
    </row>
    <row r="43" spans="1:6" ht="14" x14ac:dyDescent="0.15">
      <c r="A43" s="47" t="s">
        <v>589</v>
      </c>
      <c r="B43" s="46">
        <v>7</v>
      </c>
      <c r="C43" s="47" t="s">
        <v>607</v>
      </c>
      <c r="D43" s="46" t="s">
        <v>608</v>
      </c>
      <c r="E43" s="37" t="s">
        <v>609</v>
      </c>
      <c r="F43" s="22"/>
    </row>
    <row r="44" spans="1:6" ht="28" x14ac:dyDescent="0.15">
      <c r="A44" s="48" t="s">
        <v>610</v>
      </c>
      <c r="B44" s="49">
        <v>1</v>
      </c>
      <c r="C44" s="50" t="s">
        <v>611</v>
      </c>
      <c r="D44" s="49" t="s">
        <v>211</v>
      </c>
      <c r="E44" s="51" t="s">
        <v>612</v>
      </c>
      <c r="F44" s="22"/>
    </row>
    <row r="45" spans="1:6" ht="28" x14ac:dyDescent="0.15">
      <c r="A45" s="50" t="s">
        <v>610</v>
      </c>
      <c r="B45" s="49">
        <v>2</v>
      </c>
      <c r="C45" s="50" t="s">
        <v>613</v>
      </c>
      <c r="D45" s="49" t="s">
        <v>614</v>
      </c>
      <c r="E45" s="51" t="s">
        <v>615</v>
      </c>
      <c r="F45" s="22"/>
    </row>
    <row r="46" spans="1:6" ht="14" x14ac:dyDescent="0.15">
      <c r="A46" s="50" t="s">
        <v>610</v>
      </c>
      <c r="B46" s="49">
        <v>3</v>
      </c>
      <c r="C46" s="50" t="s">
        <v>616</v>
      </c>
      <c r="D46" s="49" t="s">
        <v>230</v>
      </c>
      <c r="E46" s="51" t="s">
        <v>617</v>
      </c>
      <c r="F46" s="22"/>
    </row>
    <row r="47" spans="1:6" ht="14" x14ac:dyDescent="0.15">
      <c r="A47" s="50" t="s">
        <v>610</v>
      </c>
      <c r="B47" s="49">
        <v>4</v>
      </c>
      <c r="C47" s="50" t="s">
        <v>618</v>
      </c>
      <c r="D47" s="49" t="s">
        <v>239</v>
      </c>
      <c r="E47" s="51" t="s">
        <v>619</v>
      </c>
      <c r="F47" s="22"/>
    </row>
    <row r="48" spans="1:6" ht="28" x14ac:dyDescent="0.15">
      <c r="A48" s="50" t="s">
        <v>610</v>
      </c>
      <c r="B48" s="49">
        <v>5</v>
      </c>
      <c r="C48" s="50" t="s">
        <v>620</v>
      </c>
      <c r="D48" s="49" t="s">
        <v>621</v>
      </c>
      <c r="E48" s="51" t="s">
        <v>622</v>
      </c>
      <c r="F48" s="22"/>
    </row>
    <row r="49" spans="1:6" ht="14" x14ac:dyDescent="0.15">
      <c r="A49" s="50" t="s">
        <v>610</v>
      </c>
      <c r="B49" s="49">
        <v>6</v>
      </c>
      <c r="C49" s="50" t="s">
        <v>623</v>
      </c>
      <c r="D49" s="49" t="s">
        <v>624</v>
      </c>
      <c r="E49" s="51" t="s">
        <v>625</v>
      </c>
      <c r="F49" s="22"/>
    </row>
    <row r="50" spans="1:6" ht="28" x14ac:dyDescent="0.15">
      <c r="A50" s="50" t="s">
        <v>610</v>
      </c>
      <c r="B50" s="49">
        <v>7</v>
      </c>
      <c r="C50" s="50" t="s">
        <v>626</v>
      </c>
      <c r="D50" s="49" t="s">
        <v>544</v>
      </c>
      <c r="E50" s="51" t="s">
        <v>627</v>
      </c>
      <c r="F50" s="22"/>
    </row>
    <row r="51" spans="1:6" ht="14" x14ac:dyDescent="0.15">
      <c r="A51" s="36" t="s">
        <v>628</v>
      </c>
      <c r="B51" s="46">
        <v>1</v>
      </c>
      <c r="C51" s="47" t="s">
        <v>629</v>
      </c>
      <c r="D51" s="46" t="s">
        <v>630</v>
      </c>
      <c r="E51" s="37" t="s">
        <v>631</v>
      </c>
      <c r="F51" s="22"/>
    </row>
    <row r="52" spans="1:6" ht="14" x14ac:dyDescent="0.15">
      <c r="A52" s="47" t="s">
        <v>628</v>
      </c>
      <c r="B52" s="46">
        <v>2</v>
      </c>
      <c r="C52" s="47" t="s">
        <v>632</v>
      </c>
      <c r="D52" s="46" t="s">
        <v>256</v>
      </c>
      <c r="E52" s="37" t="s">
        <v>633</v>
      </c>
      <c r="F52" s="22"/>
    </row>
    <row r="53" spans="1:6" ht="14" x14ac:dyDescent="0.15">
      <c r="A53" s="47" t="s">
        <v>628</v>
      </c>
      <c r="B53" s="46">
        <v>3</v>
      </c>
      <c r="C53" s="47" t="s">
        <v>634</v>
      </c>
      <c r="D53" s="46" t="s">
        <v>562</v>
      </c>
      <c r="E53" s="37" t="s">
        <v>635</v>
      </c>
      <c r="F53" s="22"/>
    </row>
    <row r="54" spans="1:6" ht="28" x14ac:dyDescent="0.15">
      <c r="A54" s="47" t="s">
        <v>628</v>
      </c>
      <c r="B54" s="46">
        <v>4</v>
      </c>
      <c r="C54" s="47" t="s">
        <v>636</v>
      </c>
      <c r="D54" s="46" t="s">
        <v>637</v>
      </c>
      <c r="E54" s="37" t="s">
        <v>638</v>
      </c>
      <c r="F54" s="22"/>
    </row>
    <row r="55" spans="1:6" ht="28" x14ac:dyDescent="0.15">
      <c r="A55" s="47" t="s">
        <v>628</v>
      </c>
      <c r="B55" s="46">
        <v>5</v>
      </c>
      <c r="C55" s="47" t="s">
        <v>639</v>
      </c>
      <c r="D55" s="46" t="s">
        <v>264</v>
      </c>
      <c r="E55" s="37" t="s">
        <v>640</v>
      </c>
      <c r="F55" s="22"/>
    </row>
    <row r="56" spans="1:6" ht="28" x14ac:dyDescent="0.15">
      <c r="A56" s="47" t="s">
        <v>628</v>
      </c>
      <c r="B56" s="46">
        <v>6</v>
      </c>
      <c r="C56" s="47" t="s">
        <v>641</v>
      </c>
      <c r="D56" s="46" t="s">
        <v>642</v>
      </c>
      <c r="E56" s="37" t="s">
        <v>643</v>
      </c>
      <c r="F56" s="22"/>
    </row>
    <row r="57" spans="1:6" ht="28" x14ac:dyDescent="0.15">
      <c r="A57" s="47" t="s">
        <v>628</v>
      </c>
      <c r="B57" s="46">
        <v>7</v>
      </c>
      <c r="C57" s="47" t="s">
        <v>644</v>
      </c>
      <c r="D57" s="46" t="s">
        <v>562</v>
      </c>
      <c r="E57" s="37" t="s">
        <v>645</v>
      </c>
      <c r="F57" s="22"/>
    </row>
    <row r="58" spans="1:6" ht="28" x14ac:dyDescent="0.15">
      <c r="A58" s="47" t="s">
        <v>628</v>
      </c>
      <c r="B58" s="46">
        <v>8</v>
      </c>
      <c r="C58" s="47" t="s">
        <v>646</v>
      </c>
      <c r="D58" s="46" t="s">
        <v>647</v>
      </c>
      <c r="E58" s="37" t="s">
        <v>648</v>
      </c>
      <c r="F58" s="22"/>
    </row>
    <row r="59" spans="1:6" ht="28" x14ac:dyDescent="0.15">
      <c r="A59" s="48" t="s">
        <v>649</v>
      </c>
      <c r="B59" s="49">
        <v>1</v>
      </c>
      <c r="C59" s="50" t="s">
        <v>650</v>
      </c>
      <c r="D59" s="49" t="s">
        <v>287</v>
      </c>
      <c r="E59" s="51" t="s">
        <v>651</v>
      </c>
      <c r="F59" s="22"/>
    </row>
    <row r="60" spans="1:6" ht="28" x14ac:dyDescent="0.15">
      <c r="A60" s="50" t="s">
        <v>649</v>
      </c>
      <c r="B60" s="49">
        <v>2</v>
      </c>
      <c r="C60" s="50" t="s">
        <v>652</v>
      </c>
      <c r="D60" s="49" t="s">
        <v>287</v>
      </c>
      <c r="E60" s="51" t="s">
        <v>653</v>
      </c>
      <c r="F60" s="22"/>
    </row>
    <row r="61" spans="1:6" ht="28" x14ac:dyDescent="0.15">
      <c r="A61" s="50" t="s">
        <v>649</v>
      </c>
      <c r="B61" s="49">
        <v>3</v>
      </c>
      <c r="C61" s="50" t="s">
        <v>654</v>
      </c>
      <c r="D61" s="49" t="s">
        <v>655</v>
      </c>
      <c r="E61" s="51" t="s">
        <v>656</v>
      </c>
      <c r="F61" s="22"/>
    </row>
    <row r="62" spans="1:6" ht="14" x14ac:dyDescent="0.15">
      <c r="A62" s="50" t="s">
        <v>649</v>
      </c>
      <c r="B62" s="49">
        <v>4</v>
      </c>
      <c r="C62" s="50" t="s">
        <v>657</v>
      </c>
      <c r="D62" s="49" t="s">
        <v>658</v>
      </c>
      <c r="E62" s="51" t="s">
        <v>659</v>
      </c>
      <c r="F62" s="22"/>
    </row>
    <row r="63" spans="1:6" ht="28" x14ac:dyDescent="0.15">
      <c r="A63" s="50" t="s">
        <v>649</v>
      </c>
      <c r="B63" s="49">
        <v>5</v>
      </c>
      <c r="C63" s="50" t="s">
        <v>660</v>
      </c>
      <c r="D63" s="49" t="s">
        <v>661</v>
      </c>
      <c r="E63" s="51" t="s">
        <v>662</v>
      </c>
      <c r="F63" s="22"/>
    </row>
    <row r="64" spans="1:6" ht="14" x14ac:dyDescent="0.15">
      <c r="A64" s="50" t="s">
        <v>649</v>
      </c>
      <c r="B64" s="49">
        <v>6</v>
      </c>
      <c r="C64" s="50" t="s">
        <v>663</v>
      </c>
      <c r="D64" s="49" t="s">
        <v>664</v>
      </c>
      <c r="E64" s="51" t="s">
        <v>665</v>
      </c>
      <c r="F64" s="22"/>
    </row>
    <row r="65" spans="1:6" ht="14" x14ac:dyDescent="0.15">
      <c r="A65" s="50" t="s">
        <v>649</v>
      </c>
      <c r="B65" s="49">
        <v>7</v>
      </c>
      <c r="C65" s="50" t="s">
        <v>666</v>
      </c>
      <c r="D65" s="49" t="s">
        <v>667</v>
      </c>
      <c r="E65" s="51" t="s">
        <v>668</v>
      </c>
      <c r="F65" s="22"/>
    </row>
    <row r="66" spans="1:6" ht="28" x14ac:dyDescent="0.15">
      <c r="A66" s="36" t="s">
        <v>669</v>
      </c>
      <c r="B66" s="46">
        <v>1</v>
      </c>
      <c r="C66" s="47" t="s">
        <v>670</v>
      </c>
      <c r="D66" s="46" t="s">
        <v>272</v>
      </c>
      <c r="E66" s="37" t="s">
        <v>671</v>
      </c>
      <c r="F66" s="22"/>
    </row>
    <row r="67" spans="1:6" ht="28" x14ac:dyDescent="0.15">
      <c r="A67" s="47" t="s">
        <v>669</v>
      </c>
      <c r="B67" s="46">
        <v>2</v>
      </c>
      <c r="C67" s="47" t="s">
        <v>672</v>
      </c>
      <c r="D67" s="46" t="s">
        <v>664</v>
      </c>
      <c r="E67" s="37" t="s">
        <v>673</v>
      </c>
      <c r="F67" s="22"/>
    </row>
    <row r="68" spans="1:6" ht="14" x14ac:dyDescent="0.15">
      <c r="A68" s="47" t="s">
        <v>669</v>
      </c>
      <c r="B68" s="46">
        <v>3</v>
      </c>
      <c r="C68" s="47" t="s">
        <v>674</v>
      </c>
      <c r="D68" s="46" t="s">
        <v>272</v>
      </c>
      <c r="E68" s="37" t="s">
        <v>675</v>
      </c>
      <c r="F68" s="22"/>
    </row>
    <row r="69" spans="1:6" ht="14" x14ac:dyDescent="0.15">
      <c r="A69" s="47" t="s">
        <v>669</v>
      </c>
      <c r="B69" s="46">
        <v>4</v>
      </c>
      <c r="C69" s="47" t="s">
        <v>676</v>
      </c>
      <c r="D69" s="46" t="s">
        <v>272</v>
      </c>
      <c r="E69" s="37" t="s">
        <v>677</v>
      </c>
      <c r="F69" s="22"/>
    </row>
    <row r="70" spans="1:6" ht="28" x14ac:dyDescent="0.15">
      <c r="A70" s="47" t="s">
        <v>669</v>
      </c>
      <c r="B70" s="46">
        <v>5</v>
      </c>
      <c r="C70" s="47" t="s">
        <v>678</v>
      </c>
      <c r="D70" s="46" t="s">
        <v>679</v>
      </c>
      <c r="E70" s="37" t="s">
        <v>680</v>
      </c>
      <c r="F70" s="22"/>
    </row>
    <row r="71" spans="1:6" ht="28" x14ac:dyDescent="0.15">
      <c r="A71" s="47" t="s">
        <v>669</v>
      </c>
      <c r="B71" s="46">
        <v>6</v>
      </c>
      <c r="C71" s="47" t="s">
        <v>681</v>
      </c>
      <c r="D71" s="46" t="s">
        <v>664</v>
      </c>
      <c r="E71" s="37" t="s">
        <v>682</v>
      </c>
      <c r="F71" s="22"/>
    </row>
    <row r="72" spans="1:6" ht="14" x14ac:dyDescent="0.15">
      <c r="A72" s="48" t="s">
        <v>683</v>
      </c>
      <c r="B72" s="49">
        <v>1</v>
      </c>
      <c r="C72" s="50" t="s">
        <v>684</v>
      </c>
      <c r="D72" s="49" t="s">
        <v>550</v>
      </c>
      <c r="E72" s="51" t="s">
        <v>685</v>
      </c>
      <c r="F72" s="22"/>
    </row>
    <row r="73" spans="1:6" ht="14" x14ac:dyDescent="0.15">
      <c r="A73" s="50" t="s">
        <v>683</v>
      </c>
      <c r="B73" s="49">
        <v>2</v>
      </c>
      <c r="C73" s="50" t="s">
        <v>686</v>
      </c>
      <c r="D73" s="49" t="s">
        <v>687</v>
      </c>
      <c r="E73" s="51" t="s">
        <v>688</v>
      </c>
      <c r="F73" s="22"/>
    </row>
    <row r="74" spans="1:6" ht="28" x14ac:dyDescent="0.15">
      <c r="A74" s="50" t="s">
        <v>683</v>
      </c>
      <c r="B74" s="49">
        <v>3</v>
      </c>
      <c r="C74" s="50" t="s">
        <v>689</v>
      </c>
      <c r="D74" s="49" t="s">
        <v>177</v>
      </c>
      <c r="E74" s="51" t="s">
        <v>690</v>
      </c>
      <c r="F74" s="22"/>
    </row>
    <row r="75" spans="1:6" ht="28" x14ac:dyDescent="0.15">
      <c r="A75" s="50" t="s">
        <v>683</v>
      </c>
      <c r="B75" s="49">
        <v>4</v>
      </c>
      <c r="C75" s="50" t="s">
        <v>691</v>
      </c>
      <c r="D75" s="49" t="s">
        <v>692</v>
      </c>
      <c r="E75" s="51" t="s">
        <v>693</v>
      </c>
      <c r="F75" s="22"/>
    </row>
    <row r="76" spans="1:6" ht="14" x14ac:dyDescent="0.15">
      <c r="A76" s="50" t="s">
        <v>683</v>
      </c>
      <c r="B76" s="49">
        <v>5</v>
      </c>
      <c r="C76" s="50" t="s">
        <v>694</v>
      </c>
      <c r="D76" s="49" t="s">
        <v>177</v>
      </c>
      <c r="E76" s="51" t="s">
        <v>695</v>
      </c>
      <c r="F76" s="22"/>
    </row>
    <row r="77" spans="1:6" ht="14" x14ac:dyDescent="0.15">
      <c r="A77" s="50" t="s">
        <v>683</v>
      </c>
      <c r="B77" s="49">
        <v>6</v>
      </c>
      <c r="C77" s="50" t="s">
        <v>696</v>
      </c>
      <c r="D77" s="49" t="s">
        <v>334</v>
      </c>
      <c r="E77" s="51"/>
      <c r="F77" s="22"/>
    </row>
    <row r="79" spans="1:6" ht="19.5" customHeight="1" x14ac:dyDescent="0.15">
      <c r="A79" s="10" t="s">
        <v>697</v>
      </c>
      <c r="B79" s="10"/>
      <c r="C79" s="10"/>
      <c r="D79" s="10"/>
      <c r="E79" s="10"/>
      <c r="F79" s="10"/>
    </row>
    <row r="80" spans="1:6" x14ac:dyDescent="0.15">
      <c r="A80" s="10"/>
      <c r="B80" s="10"/>
      <c r="C80" s="10"/>
      <c r="D80" s="10"/>
      <c r="E80" s="10"/>
      <c r="F80" s="10"/>
    </row>
  </sheetData>
  <autoFilter ref="A5:F77" xr:uid="{00000000-0009-0000-0000-000005000000}"/>
  <mergeCells count="1">
    <mergeCell ref="A79:F80"/>
  </mergeCells>
  <pageMargins left="0.4" right="0.4" top="0.5" bottom="0.5" header="0.511811023622047" footer="0.5"/>
  <pageSetup paperSize="9" fitToHeight="0" orientation="landscape" horizontalDpi="300" verticalDpi="300"/>
  <headerFooter>
    <oddFooter>&amp;L&amp;8 CTO Consulting | Operating Model Assessment Toolkit&amp;R&amp;8 &amp;A |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B6E7E"/>
    <pageSetUpPr fitToPage="1"/>
  </sheetPr>
  <dimension ref="A1:L89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8.6640625" defaultRowHeight="13" x14ac:dyDescent="0.15"/>
  <cols>
    <col min="1" max="1" width="7" customWidth="1"/>
    <col min="2" max="2" width="54" customWidth="1"/>
    <col min="3" max="3" width="13" customWidth="1"/>
    <col min="4" max="4" width="10" customWidth="1"/>
    <col min="5" max="5" width="22" customWidth="1"/>
    <col min="6" max="6" width="18" customWidth="1"/>
    <col min="7" max="9" width="12" customWidth="1"/>
    <col min="10" max="10" width="17" customWidth="1"/>
    <col min="11" max="11" width="12" customWidth="1"/>
    <col min="12" max="12" width="36" customWidth="1"/>
  </cols>
  <sheetData>
    <row r="1" spans="1:12" ht="27.75" customHeight="1" x14ac:dyDescent="0.15">
      <c r="A1" s="33" t="s">
        <v>698</v>
      </c>
    </row>
    <row r="2" spans="1:12" x14ac:dyDescent="0.15">
      <c r="A2" s="34" t="s">
        <v>699</v>
      </c>
    </row>
    <row r="3" spans="1:12" x14ac:dyDescent="0.15">
      <c r="A3" s="38" t="s">
        <v>423</v>
      </c>
    </row>
    <row r="5" spans="1:12" ht="31.5" customHeight="1" x14ac:dyDescent="0.15">
      <c r="A5" s="20" t="s">
        <v>700</v>
      </c>
      <c r="B5" s="20" t="s">
        <v>701</v>
      </c>
      <c r="C5" s="20" t="s">
        <v>702</v>
      </c>
      <c r="D5" s="20" t="s">
        <v>703</v>
      </c>
      <c r="E5" s="20" t="s">
        <v>704</v>
      </c>
      <c r="F5" s="20" t="s">
        <v>705</v>
      </c>
      <c r="G5" s="20" t="s">
        <v>706</v>
      </c>
      <c r="H5" s="20" t="s">
        <v>707</v>
      </c>
      <c r="I5" s="20" t="s">
        <v>708</v>
      </c>
      <c r="J5" s="20" t="s">
        <v>149</v>
      </c>
      <c r="K5" s="20" t="s">
        <v>709</v>
      </c>
      <c r="L5" s="20" t="s">
        <v>710</v>
      </c>
    </row>
    <row r="6" spans="1:12" ht="14" x14ac:dyDescent="0.15">
      <c r="A6" s="43" t="s">
        <v>711</v>
      </c>
      <c r="B6" s="19" t="s">
        <v>712</v>
      </c>
      <c r="C6" s="43" t="s">
        <v>167</v>
      </c>
      <c r="D6" s="44" t="s">
        <v>441</v>
      </c>
      <c r="E6" s="22" t="s">
        <v>713</v>
      </c>
      <c r="F6" s="22"/>
      <c r="G6" s="45"/>
      <c r="H6" s="45"/>
      <c r="I6" s="45"/>
      <c r="J6" s="22" t="s">
        <v>714</v>
      </c>
      <c r="K6" s="52" t="str">
        <f t="shared" ref="K6:K37" ca="1" si="0">IF(AND(ISNUMBER(G6),NOT(ISNUMBER(I6))),TODAY()-G6,"")</f>
        <v/>
      </c>
      <c r="L6" s="22"/>
    </row>
    <row r="7" spans="1:12" ht="14" x14ac:dyDescent="0.15">
      <c r="A7" s="43" t="s">
        <v>715</v>
      </c>
      <c r="B7" s="19" t="s">
        <v>716</v>
      </c>
      <c r="C7" s="43" t="s">
        <v>578</v>
      </c>
      <c r="D7" s="44" t="s">
        <v>441</v>
      </c>
      <c r="E7" s="22" t="s">
        <v>717</v>
      </c>
      <c r="F7" s="22"/>
      <c r="G7" s="45"/>
      <c r="H7" s="45"/>
      <c r="I7" s="45"/>
      <c r="J7" s="22" t="s">
        <v>714</v>
      </c>
      <c r="K7" s="52" t="str">
        <f t="shared" ca="1" si="0"/>
        <v/>
      </c>
      <c r="L7" s="22"/>
    </row>
    <row r="8" spans="1:12" ht="28" x14ac:dyDescent="0.15">
      <c r="A8" s="43" t="s">
        <v>718</v>
      </c>
      <c r="B8" s="19" t="s">
        <v>719</v>
      </c>
      <c r="C8" s="43" t="s">
        <v>220</v>
      </c>
      <c r="D8" s="44" t="s">
        <v>441</v>
      </c>
      <c r="E8" s="22" t="s">
        <v>720</v>
      </c>
      <c r="F8" s="22"/>
      <c r="G8" s="45"/>
      <c r="H8" s="45"/>
      <c r="I8" s="45"/>
      <c r="J8" s="22" t="s">
        <v>714</v>
      </c>
      <c r="K8" s="52" t="str">
        <f t="shared" ca="1" si="0"/>
        <v/>
      </c>
      <c r="L8" s="22"/>
    </row>
    <row r="9" spans="1:12" ht="28" x14ac:dyDescent="0.15">
      <c r="A9" s="43" t="s">
        <v>721</v>
      </c>
      <c r="B9" s="19" t="s">
        <v>722</v>
      </c>
      <c r="C9" s="43" t="s">
        <v>723</v>
      </c>
      <c r="D9" s="44" t="s">
        <v>441</v>
      </c>
      <c r="E9" s="22" t="s">
        <v>724</v>
      </c>
      <c r="F9" s="22"/>
      <c r="G9" s="45"/>
      <c r="H9" s="45"/>
      <c r="I9" s="45"/>
      <c r="J9" s="22" t="s">
        <v>714</v>
      </c>
      <c r="K9" s="52" t="str">
        <f t="shared" ca="1" si="0"/>
        <v/>
      </c>
      <c r="L9" s="22"/>
    </row>
    <row r="10" spans="1:12" ht="14" x14ac:dyDescent="0.15">
      <c r="A10" s="43" t="s">
        <v>725</v>
      </c>
      <c r="B10" s="19" t="s">
        <v>726</v>
      </c>
      <c r="C10" s="43" t="s">
        <v>727</v>
      </c>
      <c r="D10" s="44" t="s">
        <v>728</v>
      </c>
      <c r="E10" s="22" t="s">
        <v>729</v>
      </c>
      <c r="F10" s="22"/>
      <c r="G10" s="45"/>
      <c r="H10" s="45"/>
      <c r="I10" s="45"/>
      <c r="J10" s="22" t="s">
        <v>714</v>
      </c>
      <c r="K10" s="52" t="str">
        <f t="shared" ca="1" si="0"/>
        <v/>
      </c>
      <c r="L10" s="22"/>
    </row>
    <row r="11" spans="1:12" ht="14" x14ac:dyDescent="0.15">
      <c r="A11" s="43" t="s">
        <v>730</v>
      </c>
      <c r="B11" s="19" t="s">
        <v>731</v>
      </c>
      <c r="C11" s="43" t="s">
        <v>177</v>
      </c>
      <c r="D11" s="44" t="s">
        <v>441</v>
      </c>
      <c r="E11" s="22" t="s">
        <v>732</v>
      </c>
      <c r="F11" s="22"/>
      <c r="G11" s="45"/>
      <c r="H11" s="45"/>
      <c r="I11" s="45"/>
      <c r="J11" s="22" t="s">
        <v>714</v>
      </c>
      <c r="K11" s="52" t="str">
        <f t="shared" ca="1" si="0"/>
        <v/>
      </c>
      <c r="L11" s="22"/>
    </row>
    <row r="12" spans="1:12" ht="14" x14ac:dyDescent="0.15">
      <c r="A12" s="43" t="s">
        <v>733</v>
      </c>
      <c r="B12" s="19" t="s">
        <v>734</v>
      </c>
      <c r="C12" s="43" t="s">
        <v>177</v>
      </c>
      <c r="D12" s="44" t="s">
        <v>728</v>
      </c>
      <c r="E12" s="22" t="s">
        <v>735</v>
      </c>
      <c r="F12" s="22"/>
      <c r="G12" s="45"/>
      <c r="H12" s="45"/>
      <c r="I12" s="45"/>
      <c r="J12" s="22" t="s">
        <v>714</v>
      </c>
      <c r="K12" s="52" t="str">
        <f t="shared" ca="1" si="0"/>
        <v/>
      </c>
      <c r="L12" s="22"/>
    </row>
    <row r="13" spans="1:12" ht="14" x14ac:dyDescent="0.15">
      <c r="A13" s="43" t="s">
        <v>736</v>
      </c>
      <c r="B13" s="19" t="s">
        <v>737</v>
      </c>
      <c r="C13" s="43" t="s">
        <v>177</v>
      </c>
      <c r="D13" s="44" t="s">
        <v>441</v>
      </c>
      <c r="E13" s="22" t="s">
        <v>738</v>
      </c>
      <c r="F13" s="22"/>
      <c r="G13" s="45"/>
      <c r="H13" s="45"/>
      <c r="I13" s="45"/>
      <c r="J13" s="22" t="s">
        <v>714</v>
      </c>
      <c r="K13" s="52" t="str">
        <f t="shared" ca="1" si="0"/>
        <v/>
      </c>
      <c r="L13" s="22"/>
    </row>
    <row r="14" spans="1:12" ht="14" x14ac:dyDescent="0.15">
      <c r="A14" s="43" t="s">
        <v>739</v>
      </c>
      <c r="B14" s="19" t="s">
        <v>740</v>
      </c>
      <c r="C14" s="43" t="s">
        <v>741</v>
      </c>
      <c r="D14" s="44" t="s">
        <v>728</v>
      </c>
      <c r="E14" s="22" t="s">
        <v>742</v>
      </c>
      <c r="F14" s="22"/>
      <c r="G14" s="45"/>
      <c r="H14" s="45"/>
      <c r="I14" s="45"/>
      <c r="J14" s="22" t="s">
        <v>714</v>
      </c>
      <c r="K14" s="52" t="str">
        <f t="shared" ca="1" si="0"/>
        <v/>
      </c>
      <c r="L14" s="22"/>
    </row>
    <row r="15" spans="1:12" ht="14" x14ac:dyDescent="0.15">
      <c r="A15" s="43" t="s">
        <v>743</v>
      </c>
      <c r="B15" s="19" t="s">
        <v>744</v>
      </c>
      <c r="C15" s="43" t="s">
        <v>550</v>
      </c>
      <c r="D15" s="44" t="s">
        <v>728</v>
      </c>
      <c r="E15" s="22" t="s">
        <v>439</v>
      </c>
      <c r="F15" s="22"/>
      <c r="G15" s="45"/>
      <c r="H15" s="45"/>
      <c r="I15" s="45"/>
      <c r="J15" s="22" t="s">
        <v>714</v>
      </c>
      <c r="K15" s="52" t="str">
        <f t="shared" ca="1" si="0"/>
        <v/>
      </c>
      <c r="L15" s="22"/>
    </row>
    <row r="16" spans="1:12" ht="14" x14ac:dyDescent="0.15">
      <c r="A16" s="43" t="s">
        <v>745</v>
      </c>
      <c r="B16" s="19" t="s">
        <v>746</v>
      </c>
      <c r="C16" s="43" t="s">
        <v>185</v>
      </c>
      <c r="D16" s="44" t="s">
        <v>441</v>
      </c>
      <c r="E16" s="22" t="s">
        <v>747</v>
      </c>
      <c r="F16" s="22"/>
      <c r="G16" s="45"/>
      <c r="H16" s="45"/>
      <c r="I16" s="45"/>
      <c r="J16" s="22" t="s">
        <v>714</v>
      </c>
      <c r="K16" s="52" t="str">
        <f t="shared" ca="1" si="0"/>
        <v/>
      </c>
      <c r="L16" s="22"/>
    </row>
    <row r="17" spans="1:12" ht="14" x14ac:dyDescent="0.15">
      <c r="A17" s="43" t="s">
        <v>748</v>
      </c>
      <c r="B17" s="19" t="s">
        <v>749</v>
      </c>
      <c r="C17" s="43" t="s">
        <v>750</v>
      </c>
      <c r="D17" s="44" t="s">
        <v>728</v>
      </c>
      <c r="E17" s="22" t="s">
        <v>751</v>
      </c>
      <c r="F17" s="22"/>
      <c r="G17" s="45"/>
      <c r="H17" s="45"/>
      <c r="I17" s="45"/>
      <c r="J17" s="22" t="s">
        <v>714</v>
      </c>
      <c r="K17" s="52" t="str">
        <f t="shared" ca="1" si="0"/>
        <v/>
      </c>
      <c r="L17" s="22"/>
    </row>
    <row r="18" spans="1:12" ht="14" x14ac:dyDescent="0.15">
      <c r="A18" s="43" t="s">
        <v>752</v>
      </c>
      <c r="B18" s="19" t="s">
        <v>753</v>
      </c>
      <c r="C18" s="43" t="s">
        <v>193</v>
      </c>
      <c r="D18" s="44" t="s">
        <v>441</v>
      </c>
      <c r="E18" s="22" t="s">
        <v>754</v>
      </c>
      <c r="F18" s="22"/>
      <c r="G18" s="45"/>
      <c r="H18" s="45"/>
      <c r="I18" s="45"/>
      <c r="J18" s="22" t="s">
        <v>714</v>
      </c>
      <c r="K18" s="52" t="str">
        <f t="shared" ca="1" si="0"/>
        <v/>
      </c>
      <c r="L18" s="22"/>
    </row>
    <row r="19" spans="1:12" ht="14" x14ac:dyDescent="0.15">
      <c r="A19" s="43" t="s">
        <v>755</v>
      </c>
      <c r="B19" s="19" t="s">
        <v>756</v>
      </c>
      <c r="C19" s="43" t="s">
        <v>193</v>
      </c>
      <c r="D19" s="44" t="s">
        <v>728</v>
      </c>
      <c r="E19" s="22" t="s">
        <v>757</v>
      </c>
      <c r="F19" s="22"/>
      <c r="G19" s="45"/>
      <c r="H19" s="45"/>
      <c r="I19" s="45"/>
      <c r="J19" s="22" t="s">
        <v>714</v>
      </c>
      <c r="K19" s="52" t="str">
        <f t="shared" ca="1" si="0"/>
        <v/>
      </c>
      <c r="L19" s="22"/>
    </row>
    <row r="20" spans="1:12" ht="28" x14ac:dyDescent="0.15">
      <c r="A20" s="43" t="s">
        <v>758</v>
      </c>
      <c r="B20" s="19" t="s">
        <v>759</v>
      </c>
      <c r="C20" s="43" t="s">
        <v>760</v>
      </c>
      <c r="D20" s="44" t="s">
        <v>441</v>
      </c>
      <c r="E20" s="22" t="s">
        <v>439</v>
      </c>
      <c r="F20" s="22"/>
      <c r="G20" s="45"/>
      <c r="H20" s="45"/>
      <c r="I20" s="45"/>
      <c r="J20" s="22" t="s">
        <v>714</v>
      </c>
      <c r="K20" s="52" t="str">
        <f t="shared" ca="1" si="0"/>
        <v/>
      </c>
      <c r="L20" s="22"/>
    </row>
    <row r="21" spans="1:12" ht="14" x14ac:dyDescent="0.15">
      <c r="A21" s="43" t="s">
        <v>761</v>
      </c>
      <c r="B21" s="19" t="s">
        <v>762</v>
      </c>
      <c r="C21" s="43" t="s">
        <v>570</v>
      </c>
      <c r="D21" s="44" t="s">
        <v>728</v>
      </c>
      <c r="E21" s="22" t="s">
        <v>763</v>
      </c>
      <c r="F21" s="22"/>
      <c r="G21" s="45"/>
      <c r="H21" s="45"/>
      <c r="I21" s="45"/>
      <c r="J21" s="22" t="s">
        <v>714</v>
      </c>
      <c r="K21" s="52" t="str">
        <f t="shared" ca="1" si="0"/>
        <v/>
      </c>
      <c r="L21" s="22"/>
    </row>
    <row r="22" spans="1:12" ht="14" x14ac:dyDescent="0.15">
      <c r="A22" s="43" t="s">
        <v>764</v>
      </c>
      <c r="B22" s="19" t="s">
        <v>765</v>
      </c>
      <c r="C22" s="43" t="s">
        <v>202</v>
      </c>
      <c r="D22" s="44" t="s">
        <v>441</v>
      </c>
      <c r="E22" s="22" t="s">
        <v>766</v>
      </c>
      <c r="F22" s="22"/>
      <c r="G22" s="45"/>
      <c r="H22" s="45"/>
      <c r="I22" s="45"/>
      <c r="J22" s="22" t="s">
        <v>714</v>
      </c>
      <c r="K22" s="52" t="str">
        <f t="shared" ca="1" si="0"/>
        <v/>
      </c>
      <c r="L22" s="22"/>
    </row>
    <row r="23" spans="1:12" ht="14" x14ac:dyDescent="0.15">
      <c r="A23" s="43" t="s">
        <v>767</v>
      </c>
      <c r="B23" s="19" t="s">
        <v>768</v>
      </c>
      <c r="C23" s="43" t="s">
        <v>211</v>
      </c>
      <c r="D23" s="44" t="s">
        <v>441</v>
      </c>
      <c r="E23" s="22" t="s">
        <v>769</v>
      </c>
      <c r="F23" s="22"/>
      <c r="G23" s="45"/>
      <c r="H23" s="45"/>
      <c r="I23" s="45"/>
      <c r="J23" s="22" t="s">
        <v>714</v>
      </c>
      <c r="K23" s="52" t="str">
        <f t="shared" ca="1" si="0"/>
        <v/>
      </c>
      <c r="L23" s="22"/>
    </row>
    <row r="24" spans="1:12" ht="28" x14ac:dyDescent="0.15">
      <c r="A24" s="43" t="s">
        <v>770</v>
      </c>
      <c r="B24" s="19" t="s">
        <v>771</v>
      </c>
      <c r="C24" s="43" t="s">
        <v>614</v>
      </c>
      <c r="D24" s="44" t="s">
        <v>441</v>
      </c>
      <c r="E24" s="22" t="s">
        <v>769</v>
      </c>
      <c r="F24" s="22"/>
      <c r="G24" s="45"/>
      <c r="H24" s="45"/>
      <c r="I24" s="45"/>
      <c r="J24" s="22" t="s">
        <v>714</v>
      </c>
      <c r="K24" s="52" t="str">
        <f t="shared" ca="1" si="0"/>
        <v/>
      </c>
      <c r="L24" s="22"/>
    </row>
    <row r="25" spans="1:12" ht="14" x14ac:dyDescent="0.15">
      <c r="A25" s="43" t="s">
        <v>772</v>
      </c>
      <c r="B25" s="19" t="s">
        <v>773</v>
      </c>
      <c r="C25" s="43" t="s">
        <v>211</v>
      </c>
      <c r="D25" s="44" t="s">
        <v>728</v>
      </c>
      <c r="E25" s="22" t="s">
        <v>769</v>
      </c>
      <c r="F25" s="22"/>
      <c r="G25" s="45"/>
      <c r="H25" s="45"/>
      <c r="I25" s="45"/>
      <c r="J25" s="22" t="s">
        <v>714</v>
      </c>
      <c r="K25" s="52" t="str">
        <f t="shared" ca="1" si="0"/>
        <v/>
      </c>
      <c r="L25" s="22"/>
    </row>
    <row r="26" spans="1:12" ht="28" x14ac:dyDescent="0.15">
      <c r="A26" s="43" t="s">
        <v>774</v>
      </c>
      <c r="B26" s="19" t="s">
        <v>775</v>
      </c>
      <c r="C26" s="43" t="s">
        <v>220</v>
      </c>
      <c r="D26" s="44" t="s">
        <v>441</v>
      </c>
      <c r="E26" s="22" t="s">
        <v>720</v>
      </c>
      <c r="F26" s="22"/>
      <c r="G26" s="45"/>
      <c r="H26" s="45"/>
      <c r="I26" s="45"/>
      <c r="J26" s="22" t="s">
        <v>714</v>
      </c>
      <c r="K26" s="52" t="str">
        <f t="shared" ca="1" si="0"/>
        <v/>
      </c>
      <c r="L26" s="22"/>
    </row>
    <row r="27" spans="1:12" ht="14" x14ac:dyDescent="0.15">
      <c r="A27" s="43" t="s">
        <v>776</v>
      </c>
      <c r="B27" s="19" t="s">
        <v>777</v>
      </c>
      <c r="C27" s="43" t="s">
        <v>220</v>
      </c>
      <c r="D27" s="44" t="s">
        <v>441</v>
      </c>
      <c r="E27" s="22" t="s">
        <v>778</v>
      </c>
      <c r="F27" s="22"/>
      <c r="G27" s="45"/>
      <c r="H27" s="45"/>
      <c r="I27" s="45"/>
      <c r="J27" s="22" t="s">
        <v>714</v>
      </c>
      <c r="K27" s="52" t="str">
        <f t="shared" ca="1" si="0"/>
        <v/>
      </c>
      <c r="L27" s="22"/>
    </row>
    <row r="28" spans="1:12" ht="14" x14ac:dyDescent="0.15">
      <c r="A28" s="43" t="s">
        <v>779</v>
      </c>
      <c r="B28" s="19" t="s">
        <v>780</v>
      </c>
      <c r="C28" s="43" t="s">
        <v>220</v>
      </c>
      <c r="D28" s="44" t="s">
        <v>728</v>
      </c>
      <c r="E28" s="22" t="s">
        <v>781</v>
      </c>
      <c r="F28" s="22"/>
      <c r="G28" s="45"/>
      <c r="H28" s="45"/>
      <c r="I28" s="45"/>
      <c r="J28" s="22" t="s">
        <v>714</v>
      </c>
      <c r="K28" s="52" t="str">
        <f t="shared" ca="1" si="0"/>
        <v/>
      </c>
      <c r="L28" s="22"/>
    </row>
    <row r="29" spans="1:12" ht="14" x14ac:dyDescent="0.15">
      <c r="A29" s="43" t="s">
        <v>782</v>
      </c>
      <c r="B29" s="19" t="s">
        <v>783</v>
      </c>
      <c r="C29" s="43" t="s">
        <v>658</v>
      </c>
      <c r="D29" s="44" t="s">
        <v>728</v>
      </c>
      <c r="E29" s="22" t="s">
        <v>784</v>
      </c>
      <c r="F29" s="22"/>
      <c r="G29" s="45"/>
      <c r="H29" s="45"/>
      <c r="I29" s="45"/>
      <c r="J29" s="22" t="s">
        <v>714</v>
      </c>
      <c r="K29" s="52" t="str">
        <f t="shared" ca="1" si="0"/>
        <v/>
      </c>
      <c r="L29" s="22"/>
    </row>
    <row r="30" spans="1:12" ht="14" x14ac:dyDescent="0.15">
      <c r="A30" s="43" t="s">
        <v>785</v>
      </c>
      <c r="B30" s="19" t="s">
        <v>786</v>
      </c>
      <c r="C30" s="43" t="s">
        <v>230</v>
      </c>
      <c r="D30" s="44" t="s">
        <v>728</v>
      </c>
      <c r="E30" s="22" t="s">
        <v>769</v>
      </c>
      <c r="F30" s="22"/>
      <c r="G30" s="45"/>
      <c r="H30" s="45"/>
      <c r="I30" s="45"/>
      <c r="J30" s="22" t="s">
        <v>714</v>
      </c>
      <c r="K30" s="52" t="str">
        <f t="shared" ca="1" si="0"/>
        <v/>
      </c>
      <c r="L30" s="22"/>
    </row>
    <row r="31" spans="1:12" ht="14" x14ac:dyDescent="0.15">
      <c r="A31" s="43" t="s">
        <v>787</v>
      </c>
      <c r="B31" s="19" t="s">
        <v>788</v>
      </c>
      <c r="C31" s="43" t="s">
        <v>789</v>
      </c>
      <c r="D31" s="44" t="s">
        <v>441</v>
      </c>
      <c r="E31" s="22" t="s">
        <v>769</v>
      </c>
      <c r="F31" s="22"/>
      <c r="G31" s="45"/>
      <c r="H31" s="45"/>
      <c r="I31" s="45"/>
      <c r="J31" s="22" t="s">
        <v>714</v>
      </c>
      <c r="K31" s="52" t="str">
        <f t="shared" ca="1" si="0"/>
        <v/>
      </c>
      <c r="L31" s="22"/>
    </row>
    <row r="32" spans="1:12" ht="14" x14ac:dyDescent="0.15">
      <c r="A32" s="43" t="s">
        <v>790</v>
      </c>
      <c r="B32" s="19" t="s">
        <v>791</v>
      </c>
      <c r="C32" s="43" t="s">
        <v>230</v>
      </c>
      <c r="D32" s="44" t="s">
        <v>728</v>
      </c>
      <c r="E32" s="22" t="s">
        <v>769</v>
      </c>
      <c r="F32" s="22"/>
      <c r="G32" s="45"/>
      <c r="H32" s="45"/>
      <c r="I32" s="45"/>
      <c r="J32" s="22" t="s">
        <v>714</v>
      </c>
      <c r="K32" s="52" t="str">
        <f t="shared" ca="1" si="0"/>
        <v/>
      </c>
      <c r="L32" s="22"/>
    </row>
    <row r="33" spans="1:12" ht="14" x14ac:dyDescent="0.15">
      <c r="A33" s="43" t="s">
        <v>792</v>
      </c>
      <c r="B33" s="19" t="s">
        <v>793</v>
      </c>
      <c r="C33" s="43" t="s">
        <v>230</v>
      </c>
      <c r="D33" s="44" t="s">
        <v>728</v>
      </c>
      <c r="E33" s="22" t="s">
        <v>794</v>
      </c>
      <c r="F33" s="22"/>
      <c r="G33" s="45"/>
      <c r="H33" s="45"/>
      <c r="I33" s="45"/>
      <c r="J33" s="22" t="s">
        <v>714</v>
      </c>
      <c r="K33" s="52" t="str">
        <f t="shared" ca="1" si="0"/>
        <v/>
      </c>
      <c r="L33" s="22"/>
    </row>
    <row r="34" spans="1:12" ht="14" x14ac:dyDescent="0.15">
      <c r="A34" s="43" t="s">
        <v>795</v>
      </c>
      <c r="B34" s="19" t="s">
        <v>796</v>
      </c>
      <c r="C34" s="43" t="s">
        <v>621</v>
      </c>
      <c r="D34" s="44" t="s">
        <v>797</v>
      </c>
      <c r="E34" s="22" t="s">
        <v>769</v>
      </c>
      <c r="F34" s="22"/>
      <c r="G34" s="45"/>
      <c r="H34" s="45"/>
      <c r="I34" s="45"/>
      <c r="J34" s="22" t="s">
        <v>714</v>
      </c>
      <c r="K34" s="52" t="str">
        <f t="shared" ca="1" si="0"/>
        <v/>
      </c>
      <c r="L34" s="22"/>
    </row>
    <row r="35" spans="1:12" ht="14" x14ac:dyDescent="0.15">
      <c r="A35" s="43" t="s">
        <v>798</v>
      </c>
      <c r="B35" s="19" t="s">
        <v>799</v>
      </c>
      <c r="C35" s="43" t="s">
        <v>624</v>
      </c>
      <c r="D35" s="44" t="s">
        <v>728</v>
      </c>
      <c r="E35" s="22" t="s">
        <v>800</v>
      </c>
      <c r="F35" s="22"/>
      <c r="G35" s="45"/>
      <c r="H35" s="45"/>
      <c r="I35" s="45"/>
      <c r="J35" s="22" t="s">
        <v>714</v>
      </c>
      <c r="K35" s="52" t="str">
        <f t="shared" ca="1" si="0"/>
        <v/>
      </c>
      <c r="L35" s="22"/>
    </row>
    <row r="36" spans="1:12" ht="14" x14ac:dyDescent="0.15">
      <c r="A36" s="43" t="s">
        <v>801</v>
      </c>
      <c r="B36" s="19" t="s">
        <v>802</v>
      </c>
      <c r="C36" s="43" t="s">
        <v>239</v>
      </c>
      <c r="D36" s="44" t="s">
        <v>728</v>
      </c>
      <c r="E36" s="22" t="s">
        <v>769</v>
      </c>
      <c r="F36" s="22"/>
      <c r="G36" s="45"/>
      <c r="H36" s="45"/>
      <c r="I36" s="45"/>
      <c r="J36" s="22" t="s">
        <v>714</v>
      </c>
      <c r="K36" s="52" t="str">
        <f t="shared" ca="1" si="0"/>
        <v/>
      </c>
      <c r="L36" s="22"/>
    </row>
    <row r="37" spans="1:12" ht="28" x14ac:dyDescent="0.15">
      <c r="A37" s="43" t="s">
        <v>803</v>
      </c>
      <c r="B37" s="19" t="s">
        <v>804</v>
      </c>
      <c r="C37" s="43" t="s">
        <v>248</v>
      </c>
      <c r="D37" s="44" t="s">
        <v>441</v>
      </c>
      <c r="E37" s="22" t="s">
        <v>805</v>
      </c>
      <c r="F37" s="22"/>
      <c r="G37" s="45"/>
      <c r="H37" s="45"/>
      <c r="I37" s="45"/>
      <c r="J37" s="22" t="s">
        <v>714</v>
      </c>
      <c r="K37" s="52" t="str">
        <f t="shared" ca="1" si="0"/>
        <v/>
      </c>
      <c r="L37" s="22"/>
    </row>
    <row r="38" spans="1:12" ht="14" x14ac:dyDescent="0.15">
      <c r="A38" s="43" t="s">
        <v>806</v>
      </c>
      <c r="B38" s="19" t="s">
        <v>807</v>
      </c>
      <c r="C38" s="43" t="s">
        <v>808</v>
      </c>
      <c r="D38" s="44" t="s">
        <v>728</v>
      </c>
      <c r="E38" s="22" t="s">
        <v>751</v>
      </c>
      <c r="F38" s="22"/>
      <c r="G38" s="45"/>
      <c r="H38" s="45"/>
      <c r="I38" s="45"/>
      <c r="J38" s="22" t="s">
        <v>714</v>
      </c>
      <c r="K38" s="52" t="str">
        <f t="shared" ref="K38:K69" ca="1" si="1">IF(AND(ISNUMBER(G38),NOT(ISNUMBER(I38))),TODAY()-G38,"")</f>
        <v/>
      </c>
      <c r="L38" s="22"/>
    </row>
    <row r="39" spans="1:12" ht="14" x14ac:dyDescent="0.15">
      <c r="A39" s="43" t="s">
        <v>809</v>
      </c>
      <c r="B39" s="19" t="s">
        <v>810</v>
      </c>
      <c r="C39" s="43" t="s">
        <v>256</v>
      </c>
      <c r="D39" s="44" t="s">
        <v>441</v>
      </c>
      <c r="E39" s="22" t="s">
        <v>811</v>
      </c>
      <c r="F39" s="22"/>
      <c r="G39" s="45"/>
      <c r="H39" s="45"/>
      <c r="I39" s="45"/>
      <c r="J39" s="22" t="s">
        <v>714</v>
      </c>
      <c r="K39" s="52" t="str">
        <f t="shared" ca="1" si="1"/>
        <v/>
      </c>
      <c r="L39" s="22"/>
    </row>
    <row r="40" spans="1:12" ht="14" x14ac:dyDescent="0.15">
      <c r="A40" s="43" t="s">
        <v>812</v>
      </c>
      <c r="B40" s="19" t="s">
        <v>813</v>
      </c>
      <c r="C40" s="43" t="s">
        <v>256</v>
      </c>
      <c r="D40" s="44" t="s">
        <v>441</v>
      </c>
      <c r="E40" s="22" t="s">
        <v>814</v>
      </c>
      <c r="F40" s="22"/>
      <c r="G40" s="45"/>
      <c r="H40" s="45"/>
      <c r="I40" s="45"/>
      <c r="J40" s="22" t="s">
        <v>714</v>
      </c>
      <c r="K40" s="52" t="str">
        <f t="shared" ca="1" si="1"/>
        <v/>
      </c>
      <c r="L40" s="22"/>
    </row>
    <row r="41" spans="1:12" ht="14" x14ac:dyDescent="0.15">
      <c r="A41" s="43" t="s">
        <v>815</v>
      </c>
      <c r="B41" s="19" t="s">
        <v>816</v>
      </c>
      <c r="C41" s="43" t="s">
        <v>256</v>
      </c>
      <c r="D41" s="44" t="s">
        <v>728</v>
      </c>
      <c r="E41" s="22" t="s">
        <v>766</v>
      </c>
      <c r="F41" s="22"/>
      <c r="G41" s="45"/>
      <c r="H41" s="45"/>
      <c r="I41" s="45"/>
      <c r="J41" s="22" t="s">
        <v>714</v>
      </c>
      <c r="K41" s="52" t="str">
        <f t="shared" ca="1" si="1"/>
        <v/>
      </c>
      <c r="L41" s="22"/>
    </row>
    <row r="42" spans="1:12" ht="14" x14ac:dyDescent="0.15">
      <c r="A42" s="43" t="s">
        <v>817</v>
      </c>
      <c r="B42" s="19" t="s">
        <v>818</v>
      </c>
      <c r="C42" s="43" t="s">
        <v>256</v>
      </c>
      <c r="D42" s="44" t="s">
        <v>728</v>
      </c>
      <c r="E42" s="22" t="s">
        <v>811</v>
      </c>
      <c r="F42" s="22"/>
      <c r="G42" s="45"/>
      <c r="H42" s="45"/>
      <c r="I42" s="45"/>
      <c r="J42" s="22" t="s">
        <v>714</v>
      </c>
      <c r="K42" s="52" t="str">
        <f t="shared" ca="1" si="1"/>
        <v/>
      </c>
      <c r="L42" s="22"/>
    </row>
    <row r="43" spans="1:12" ht="14" x14ac:dyDescent="0.15">
      <c r="A43" s="43" t="s">
        <v>819</v>
      </c>
      <c r="B43" s="19" t="s">
        <v>820</v>
      </c>
      <c r="C43" s="43" t="s">
        <v>256</v>
      </c>
      <c r="D43" s="44" t="s">
        <v>797</v>
      </c>
      <c r="E43" s="22" t="s">
        <v>821</v>
      </c>
      <c r="F43" s="22"/>
      <c r="G43" s="45"/>
      <c r="H43" s="45"/>
      <c r="I43" s="45"/>
      <c r="J43" s="22" t="s">
        <v>714</v>
      </c>
      <c r="K43" s="52" t="str">
        <f t="shared" ca="1" si="1"/>
        <v/>
      </c>
      <c r="L43" s="22"/>
    </row>
    <row r="44" spans="1:12" ht="14" x14ac:dyDescent="0.15">
      <c r="A44" s="43" t="s">
        <v>822</v>
      </c>
      <c r="B44" s="19" t="s">
        <v>823</v>
      </c>
      <c r="C44" s="43" t="s">
        <v>824</v>
      </c>
      <c r="D44" s="44" t="s">
        <v>728</v>
      </c>
      <c r="E44" s="22" t="s">
        <v>825</v>
      </c>
      <c r="F44" s="22"/>
      <c r="G44" s="45"/>
      <c r="H44" s="45"/>
      <c r="I44" s="45"/>
      <c r="J44" s="22" t="s">
        <v>714</v>
      </c>
      <c r="K44" s="52" t="str">
        <f t="shared" ca="1" si="1"/>
        <v/>
      </c>
      <c r="L44" s="22"/>
    </row>
    <row r="45" spans="1:12" ht="14" x14ac:dyDescent="0.15">
      <c r="A45" s="43" t="s">
        <v>826</v>
      </c>
      <c r="B45" s="19" t="s">
        <v>827</v>
      </c>
      <c r="C45" s="43" t="s">
        <v>256</v>
      </c>
      <c r="D45" s="44" t="s">
        <v>728</v>
      </c>
      <c r="E45" s="22" t="s">
        <v>814</v>
      </c>
      <c r="F45" s="22"/>
      <c r="G45" s="45"/>
      <c r="H45" s="45"/>
      <c r="I45" s="45"/>
      <c r="J45" s="22" t="s">
        <v>714</v>
      </c>
      <c r="K45" s="52" t="str">
        <f t="shared" ca="1" si="1"/>
        <v/>
      </c>
      <c r="L45" s="22"/>
    </row>
    <row r="46" spans="1:12" ht="14" x14ac:dyDescent="0.15">
      <c r="A46" s="43" t="s">
        <v>828</v>
      </c>
      <c r="B46" s="19" t="s">
        <v>829</v>
      </c>
      <c r="C46" s="43" t="s">
        <v>264</v>
      </c>
      <c r="D46" s="44" t="s">
        <v>728</v>
      </c>
      <c r="E46" s="22" t="s">
        <v>830</v>
      </c>
      <c r="F46" s="22"/>
      <c r="G46" s="45"/>
      <c r="H46" s="45"/>
      <c r="I46" s="45"/>
      <c r="J46" s="22" t="s">
        <v>714</v>
      </c>
      <c r="K46" s="52" t="str">
        <f t="shared" ca="1" si="1"/>
        <v/>
      </c>
      <c r="L46" s="22"/>
    </row>
    <row r="47" spans="1:12" ht="14" x14ac:dyDescent="0.15">
      <c r="A47" s="43" t="s">
        <v>831</v>
      </c>
      <c r="B47" s="19" t="s">
        <v>832</v>
      </c>
      <c r="C47" s="43" t="s">
        <v>264</v>
      </c>
      <c r="D47" s="44" t="s">
        <v>797</v>
      </c>
      <c r="E47" s="22" t="s">
        <v>833</v>
      </c>
      <c r="F47" s="22"/>
      <c r="G47" s="45"/>
      <c r="H47" s="45"/>
      <c r="I47" s="45"/>
      <c r="J47" s="22" t="s">
        <v>714</v>
      </c>
      <c r="K47" s="52" t="str">
        <f t="shared" ca="1" si="1"/>
        <v/>
      </c>
      <c r="L47" s="22"/>
    </row>
    <row r="48" spans="1:12" ht="28" x14ac:dyDescent="0.15">
      <c r="A48" s="43" t="s">
        <v>834</v>
      </c>
      <c r="B48" s="19" t="s">
        <v>835</v>
      </c>
      <c r="C48" s="43" t="s">
        <v>264</v>
      </c>
      <c r="D48" s="44" t="s">
        <v>797</v>
      </c>
      <c r="E48" s="22" t="s">
        <v>836</v>
      </c>
      <c r="F48" s="22"/>
      <c r="G48" s="45"/>
      <c r="H48" s="45"/>
      <c r="I48" s="45"/>
      <c r="J48" s="22" t="s">
        <v>714</v>
      </c>
      <c r="K48" s="52" t="str">
        <f t="shared" ca="1" si="1"/>
        <v/>
      </c>
      <c r="L48" s="22"/>
    </row>
    <row r="49" spans="1:12" ht="14" x14ac:dyDescent="0.15">
      <c r="A49" s="43" t="s">
        <v>837</v>
      </c>
      <c r="B49" s="19" t="s">
        <v>838</v>
      </c>
      <c r="C49" s="43" t="s">
        <v>839</v>
      </c>
      <c r="D49" s="44" t="s">
        <v>728</v>
      </c>
      <c r="E49" s="22" t="s">
        <v>840</v>
      </c>
      <c r="F49" s="22"/>
      <c r="G49" s="45"/>
      <c r="H49" s="45"/>
      <c r="I49" s="45"/>
      <c r="J49" s="22" t="s">
        <v>714</v>
      </c>
      <c r="K49" s="52" t="str">
        <f t="shared" ca="1" si="1"/>
        <v/>
      </c>
      <c r="L49" s="22"/>
    </row>
    <row r="50" spans="1:12" ht="14" x14ac:dyDescent="0.15">
      <c r="A50" s="43" t="s">
        <v>841</v>
      </c>
      <c r="B50" s="19" t="s">
        <v>842</v>
      </c>
      <c r="C50" s="43" t="s">
        <v>272</v>
      </c>
      <c r="D50" s="44" t="s">
        <v>441</v>
      </c>
      <c r="E50" s="22" t="s">
        <v>843</v>
      </c>
      <c r="F50" s="22"/>
      <c r="G50" s="45"/>
      <c r="H50" s="45"/>
      <c r="I50" s="45"/>
      <c r="J50" s="22" t="s">
        <v>714</v>
      </c>
      <c r="K50" s="52" t="str">
        <f t="shared" ca="1" si="1"/>
        <v/>
      </c>
      <c r="L50" s="22"/>
    </row>
    <row r="51" spans="1:12" ht="14" x14ac:dyDescent="0.15">
      <c r="A51" s="43" t="s">
        <v>844</v>
      </c>
      <c r="B51" s="19" t="s">
        <v>845</v>
      </c>
      <c r="C51" s="43" t="s">
        <v>272</v>
      </c>
      <c r="D51" s="44" t="s">
        <v>441</v>
      </c>
      <c r="E51" s="22" t="s">
        <v>843</v>
      </c>
      <c r="F51" s="22"/>
      <c r="G51" s="45"/>
      <c r="H51" s="45"/>
      <c r="I51" s="45"/>
      <c r="J51" s="22" t="s">
        <v>714</v>
      </c>
      <c r="K51" s="52" t="str">
        <f t="shared" ca="1" si="1"/>
        <v/>
      </c>
      <c r="L51" s="22"/>
    </row>
    <row r="52" spans="1:12" ht="14" x14ac:dyDescent="0.15">
      <c r="A52" s="43" t="s">
        <v>846</v>
      </c>
      <c r="B52" s="19" t="s">
        <v>847</v>
      </c>
      <c r="C52" s="43" t="s">
        <v>272</v>
      </c>
      <c r="D52" s="44" t="s">
        <v>728</v>
      </c>
      <c r="E52" s="22" t="s">
        <v>848</v>
      </c>
      <c r="F52" s="22"/>
      <c r="G52" s="45"/>
      <c r="H52" s="45"/>
      <c r="I52" s="45"/>
      <c r="J52" s="22" t="s">
        <v>714</v>
      </c>
      <c r="K52" s="52" t="str">
        <f t="shared" ca="1" si="1"/>
        <v/>
      </c>
      <c r="L52" s="22"/>
    </row>
    <row r="53" spans="1:12" ht="14" x14ac:dyDescent="0.15">
      <c r="A53" s="43" t="s">
        <v>849</v>
      </c>
      <c r="B53" s="19" t="s">
        <v>850</v>
      </c>
      <c r="C53" s="43" t="s">
        <v>272</v>
      </c>
      <c r="D53" s="44" t="s">
        <v>728</v>
      </c>
      <c r="E53" s="22" t="s">
        <v>843</v>
      </c>
      <c r="F53" s="22"/>
      <c r="G53" s="45"/>
      <c r="H53" s="45"/>
      <c r="I53" s="45"/>
      <c r="J53" s="22" t="s">
        <v>714</v>
      </c>
      <c r="K53" s="52" t="str">
        <f t="shared" ca="1" si="1"/>
        <v/>
      </c>
      <c r="L53" s="22"/>
    </row>
    <row r="54" spans="1:12" ht="14" x14ac:dyDescent="0.15">
      <c r="A54" s="43" t="s">
        <v>851</v>
      </c>
      <c r="B54" s="19" t="s">
        <v>852</v>
      </c>
      <c r="C54" s="43" t="s">
        <v>280</v>
      </c>
      <c r="D54" s="44" t="s">
        <v>728</v>
      </c>
      <c r="E54" s="22" t="s">
        <v>853</v>
      </c>
      <c r="F54" s="22"/>
      <c r="G54" s="45"/>
      <c r="H54" s="45"/>
      <c r="I54" s="45"/>
      <c r="J54" s="22" t="s">
        <v>714</v>
      </c>
      <c r="K54" s="52" t="str">
        <f t="shared" ca="1" si="1"/>
        <v/>
      </c>
      <c r="L54" s="22"/>
    </row>
    <row r="55" spans="1:12" ht="14" x14ac:dyDescent="0.15">
      <c r="A55" s="43" t="s">
        <v>854</v>
      </c>
      <c r="B55" s="19" t="s">
        <v>855</v>
      </c>
      <c r="C55" s="43" t="s">
        <v>280</v>
      </c>
      <c r="D55" s="44" t="s">
        <v>797</v>
      </c>
      <c r="E55" s="22" t="s">
        <v>853</v>
      </c>
      <c r="F55" s="22"/>
      <c r="G55" s="45"/>
      <c r="H55" s="45"/>
      <c r="I55" s="45"/>
      <c r="J55" s="22" t="s">
        <v>714</v>
      </c>
      <c r="K55" s="52" t="str">
        <f t="shared" ca="1" si="1"/>
        <v/>
      </c>
      <c r="L55" s="22"/>
    </row>
    <row r="56" spans="1:12" ht="14" x14ac:dyDescent="0.15">
      <c r="A56" s="43" t="s">
        <v>856</v>
      </c>
      <c r="B56" s="19" t="s">
        <v>857</v>
      </c>
      <c r="C56" s="43" t="s">
        <v>858</v>
      </c>
      <c r="D56" s="44" t="s">
        <v>797</v>
      </c>
      <c r="E56" s="22" t="s">
        <v>769</v>
      </c>
      <c r="F56" s="22"/>
      <c r="G56" s="45"/>
      <c r="H56" s="45"/>
      <c r="I56" s="45"/>
      <c r="J56" s="22" t="s">
        <v>714</v>
      </c>
      <c r="K56" s="52" t="str">
        <f t="shared" ca="1" si="1"/>
        <v/>
      </c>
      <c r="L56" s="22"/>
    </row>
    <row r="57" spans="1:12" ht="14" x14ac:dyDescent="0.15">
      <c r="A57" s="43" t="s">
        <v>859</v>
      </c>
      <c r="B57" s="19" t="s">
        <v>860</v>
      </c>
      <c r="C57" s="43" t="s">
        <v>287</v>
      </c>
      <c r="D57" s="44" t="s">
        <v>441</v>
      </c>
      <c r="E57" s="22" t="s">
        <v>861</v>
      </c>
      <c r="F57" s="22"/>
      <c r="G57" s="45"/>
      <c r="H57" s="45"/>
      <c r="I57" s="45"/>
      <c r="J57" s="22" t="s">
        <v>714</v>
      </c>
      <c r="K57" s="52" t="str">
        <f t="shared" ca="1" si="1"/>
        <v/>
      </c>
      <c r="L57" s="22"/>
    </row>
    <row r="58" spans="1:12" ht="14" x14ac:dyDescent="0.15">
      <c r="A58" s="43" t="s">
        <v>862</v>
      </c>
      <c r="B58" s="19" t="s">
        <v>863</v>
      </c>
      <c r="C58" s="43" t="s">
        <v>287</v>
      </c>
      <c r="D58" s="44" t="s">
        <v>441</v>
      </c>
      <c r="E58" s="22" t="s">
        <v>861</v>
      </c>
      <c r="F58" s="22"/>
      <c r="G58" s="45"/>
      <c r="H58" s="45"/>
      <c r="I58" s="45"/>
      <c r="J58" s="22" t="s">
        <v>714</v>
      </c>
      <c r="K58" s="52" t="str">
        <f t="shared" ca="1" si="1"/>
        <v/>
      </c>
      <c r="L58" s="22"/>
    </row>
    <row r="59" spans="1:12" ht="14" x14ac:dyDescent="0.15">
      <c r="A59" s="43" t="s">
        <v>864</v>
      </c>
      <c r="B59" s="19" t="s">
        <v>865</v>
      </c>
      <c r="C59" s="43" t="s">
        <v>287</v>
      </c>
      <c r="D59" s="44" t="s">
        <v>441</v>
      </c>
      <c r="E59" s="22" t="s">
        <v>866</v>
      </c>
      <c r="F59" s="22"/>
      <c r="G59" s="45"/>
      <c r="H59" s="45"/>
      <c r="I59" s="45"/>
      <c r="J59" s="22" t="s">
        <v>714</v>
      </c>
      <c r="K59" s="52" t="str">
        <f t="shared" ca="1" si="1"/>
        <v/>
      </c>
      <c r="L59" s="22"/>
    </row>
    <row r="60" spans="1:12" ht="14" x14ac:dyDescent="0.15">
      <c r="A60" s="43" t="s">
        <v>867</v>
      </c>
      <c r="B60" s="19" t="s">
        <v>868</v>
      </c>
      <c r="C60" s="43" t="s">
        <v>287</v>
      </c>
      <c r="D60" s="44" t="s">
        <v>728</v>
      </c>
      <c r="E60" s="22" t="s">
        <v>866</v>
      </c>
      <c r="F60" s="22"/>
      <c r="G60" s="45"/>
      <c r="H60" s="45"/>
      <c r="I60" s="45"/>
      <c r="J60" s="22" t="s">
        <v>714</v>
      </c>
      <c r="K60" s="52" t="str">
        <f t="shared" ca="1" si="1"/>
        <v/>
      </c>
      <c r="L60" s="22"/>
    </row>
    <row r="61" spans="1:12" ht="14" x14ac:dyDescent="0.15">
      <c r="A61" s="43" t="s">
        <v>869</v>
      </c>
      <c r="B61" s="19" t="s">
        <v>870</v>
      </c>
      <c r="C61" s="43" t="s">
        <v>287</v>
      </c>
      <c r="D61" s="44" t="s">
        <v>441</v>
      </c>
      <c r="E61" s="22" t="s">
        <v>871</v>
      </c>
      <c r="F61" s="22"/>
      <c r="G61" s="45"/>
      <c r="H61" s="45"/>
      <c r="I61" s="45"/>
      <c r="J61" s="22" t="s">
        <v>714</v>
      </c>
      <c r="K61" s="52" t="str">
        <f t="shared" ca="1" si="1"/>
        <v/>
      </c>
      <c r="L61" s="22"/>
    </row>
    <row r="62" spans="1:12" ht="28" x14ac:dyDescent="0.15">
      <c r="A62" s="43" t="s">
        <v>872</v>
      </c>
      <c r="B62" s="19" t="s">
        <v>873</v>
      </c>
      <c r="C62" s="43" t="s">
        <v>287</v>
      </c>
      <c r="D62" s="44" t="s">
        <v>728</v>
      </c>
      <c r="E62" s="22" t="s">
        <v>874</v>
      </c>
      <c r="F62" s="22"/>
      <c r="G62" s="45"/>
      <c r="H62" s="45"/>
      <c r="I62" s="45"/>
      <c r="J62" s="22" t="s">
        <v>714</v>
      </c>
      <c r="K62" s="52" t="str">
        <f t="shared" ca="1" si="1"/>
        <v/>
      </c>
      <c r="L62" s="22"/>
    </row>
    <row r="63" spans="1:12" ht="28" x14ac:dyDescent="0.15">
      <c r="A63" s="43" t="s">
        <v>875</v>
      </c>
      <c r="B63" s="19" t="s">
        <v>876</v>
      </c>
      <c r="C63" s="43" t="s">
        <v>287</v>
      </c>
      <c r="D63" s="44" t="s">
        <v>728</v>
      </c>
      <c r="E63" s="22" t="s">
        <v>877</v>
      </c>
      <c r="F63" s="22"/>
      <c r="G63" s="45"/>
      <c r="H63" s="45"/>
      <c r="I63" s="45"/>
      <c r="J63" s="22" t="s">
        <v>714</v>
      </c>
      <c r="K63" s="52" t="str">
        <f t="shared" ca="1" si="1"/>
        <v/>
      </c>
      <c r="L63" s="22"/>
    </row>
    <row r="64" spans="1:12" ht="14" x14ac:dyDescent="0.15">
      <c r="A64" s="43" t="s">
        <v>878</v>
      </c>
      <c r="B64" s="19" t="s">
        <v>879</v>
      </c>
      <c r="C64" s="43" t="s">
        <v>287</v>
      </c>
      <c r="D64" s="44" t="s">
        <v>728</v>
      </c>
      <c r="E64" s="22" t="s">
        <v>880</v>
      </c>
      <c r="F64" s="22"/>
      <c r="G64" s="45"/>
      <c r="H64" s="45"/>
      <c r="I64" s="45"/>
      <c r="J64" s="22" t="s">
        <v>714</v>
      </c>
      <c r="K64" s="52" t="str">
        <f t="shared" ca="1" si="1"/>
        <v/>
      </c>
      <c r="L64" s="22"/>
    </row>
    <row r="65" spans="1:12" ht="14" x14ac:dyDescent="0.15">
      <c r="A65" s="43" t="s">
        <v>881</v>
      </c>
      <c r="B65" s="19" t="s">
        <v>882</v>
      </c>
      <c r="C65" s="43" t="s">
        <v>294</v>
      </c>
      <c r="D65" s="44" t="s">
        <v>441</v>
      </c>
      <c r="E65" s="22" t="s">
        <v>751</v>
      </c>
      <c r="F65" s="22"/>
      <c r="G65" s="45"/>
      <c r="H65" s="45"/>
      <c r="I65" s="45"/>
      <c r="J65" s="22" t="s">
        <v>714</v>
      </c>
      <c r="K65" s="52" t="str">
        <f t="shared" ca="1" si="1"/>
        <v/>
      </c>
      <c r="L65" s="22"/>
    </row>
    <row r="66" spans="1:12" ht="14" x14ac:dyDescent="0.15">
      <c r="A66" s="43" t="s">
        <v>883</v>
      </c>
      <c r="B66" s="19" t="s">
        <v>884</v>
      </c>
      <c r="C66" s="43" t="s">
        <v>294</v>
      </c>
      <c r="D66" s="44" t="s">
        <v>441</v>
      </c>
      <c r="E66" s="22" t="s">
        <v>751</v>
      </c>
      <c r="F66" s="22"/>
      <c r="G66" s="45"/>
      <c r="H66" s="45"/>
      <c r="I66" s="45"/>
      <c r="J66" s="22" t="s">
        <v>714</v>
      </c>
      <c r="K66" s="52" t="str">
        <f t="shared" ca="1" si="1"/>
        <v/>
      </c>
      <c r="L66" s="22"/>
    </row>
    <row r="67" spans="1:12" ht="14" x14ac:dyDescent="0.15">
      <c r="A67" s="43" t="s">
        <v>885</v>
      </c>
      <c r="B67" s="19" t="s">
        <v>886</v>
      </c>
      <c r="C67" s="43" t="s">
        <v>294</v>
      </c>
      <c r="D67" s="44" t="s">
        <v>441</v>
      </c>
      <c r="E67" s="22" t="s">
        <v>751</v>
      </c>
      <c r="F67" s="22"/>
      <c r="G67" s="45"/>
      <c r="H67" s="45"/>
      <c r="I67" s="45"/>
      <c r="J67" s="22" t="s">
        <v>714</v>
      </c>
      <c r="K67" s="52" t="str">
        <f t="shared" ca="1" si="1"/>
        <v/>
      </c>
      <c r="L67" s="22"/>
    </row>
    <row r="68" spans="1:12" ht="14" x14ac:dyDescent="0.15">
      <c r="A68" s="43" t="s">
        <v>887</v>
      </c>
      <c r="B68" s="19" t="s">
        <v>888</v>
      </c>
      <c r="C68" s="43" t="s">
        <v>294</v>
      </c>
      <c r="D68" s="44" t="s">
        <v>797</v>
      </c>
      <c r="E68" s="22" t="s">
        <v>751</v>
      </c>
      <c r="F68" s="22"/>
      <c r="G68" s="45"/>
      <c r="H68" s="45"/>
      <c r="I68" s="45"/>
      <c r="J68" s="22" t="s">
        <v>714</v>
      </c>
      <c r="K68" s="52" t="str">
        <f t="shared" ca="1" si="1"/>
        <v/>
      </c>
      <c r="L68" s="22"/>
    </row>
    <row r="69" spans="1:12" ht="14" x14ac:dyDescent="0.15">
      <c r="A69" s="43" t="s">
        <v>889</v>
      </c>
      <c r="B69" s="19" t="s">
        <v>890</v>
      </c>
      <c r="C69" s="43" t="s">
        <v>599</v>
      </c>
      <c r="D69" s="44" t="s">
        <v>728</v>
      </c>
      <c r="E69" s="22" t="s">
        <v>891</v>
      </c>
      <c r="F69" s="22"/>
      <c r="G69" s="45"/>
      <c r="H69" s="45"/>
      <c r="I69" s="45"/>
      <c r="J69" s="22" t="s">
        <v>714</v>
      </c>
      <c r="K69" s="52" t="str">
        <f t="shared" ca="1" si="1"/>
        <v/>
      </c>
      <c r="L69" s="22"/>
    </row>
    <row r="70" spans="1:12" ht="14" x14ac:dyDescent="0.15">
      <c r="A70" s="43" t="s">
        <v>892</v>
      </c>
      <c r="B70" s="19" t="s">
        <v>893</v>
      </c>
      <c r="C70" s="43" t="s">
        <v>301</v>
      </c>
      <c r="D70" s="44" t="s">
        <v>441</v>
      </c>
      <c r="E70" s="22" t="s">
        <v>894</v>
      </c>
      <c r="F70" s="22"/>
      <c r="G70" s="45"/>
      <c r="H70" s="45"/>
      <c r="I70" s="45"/>
      <c r="J70" s="22" t="s">
        <v>714</v>
      </c>
      <c r="K70" s="52" t="str">
        <f t="shared" ref="K70:K89" ca="1" si="2">IF(AND(ISNUMBER(G70),NOT(ISNUMBER(I70))),TODAY()-G70,"")</f>
        <v/>
      </c>
      <c r="L70" s="22"/>
    </row>
    <row r="71" spans="1:12" ht="14" x14ac:dyDescent="0.15">
      <c r="A71" s="43" t="s">
        <v>895</v>
      </c>
      <c r="B71" s="19" t="s">
        <v>896</v>
      </c>
      <c r="C71" s="43" t="s">
        <v>301</v>
      </c>
      <c r="D71" s="44" t="s">
        <v>728</v>
      </c>
      <c r="E71" s="22" t="s">
        <v>894</v>
      </c>
      <c r="F71" s="22"/>
      <c r="G71" s="45"/>
      <c r="H71" s="45"/>
      <c r="I71" s="45"/>
      <c r="J71" s="22" t="s">
        <v>714</v>
      </c>
      <c r="K71" s="52" t="str">
        <f t="shared" ca="1" si="2"/>
        <v/>
      </c>
      <c r="L71" s="22"/>
    </row>
    <row r="72" spans="1:12" ht="14" x14ac:dyDescent="0.15">
      <c r="A72" s="43" t="s">
        <v>897</v>
      </c>
      <c r="B72" s="19" t="s">
        <v>898</v>
      </c>
      <c r="C72" s="43" t="s">
        <v>301</v>
      </c>
      <c r="D72" s="44" t="s">
        <v>728</v>
      </c>
      <c r="E72" s="22" t="s">
        <v>894</v>
      </c>
      <c r="F72" s="22"/>
      <c r="G72" s="45"/>
      <c r="H72" s="45"/>
      <c r="I72" s="45"/>
      <c r="J72" s="22" t="s">
        <v>714</v>
      </c>
      <c r="K72" s="52" t="str">
        <f t="shared" ca="1" si="2"/>
        <v/>
      </c>
      <c r="L72" s="22"/>
    </row>
    <row r="73" spans="1:12" ht="14" x14ac:dyDescent="0.15">
      <c r="A73" s="43" t="s">
        <v>899</v>
      </c>
      <c r="B73" s="19" t="s">
        <v>900</v>
      </c>
      <c r="C73" s="43" t="s">
        <v>301</v>
      </c>
      <c r="D73" s="44" t="s">
        <v>797</v>
      </c>
      <c r="E73" s="22" t="s">
        <v>901</v>
      </c>
      <c r="F73" s="22"/>
      <c r="G73" s="45"/>
      <c r="H73" s="45"/>
      <c r="I73" s="45"/>
      <c r="J73" s="22" t="s">
        <v>714</v>
      </c>
      <c r="K73" s="52" t="str">
        <f t="shared" ca="1" si="2"/>
        <v/>
      </c>
      <c r="L73" s="22"/>
    </row>
    <row r="74" spans="1:12" ht="14" x14ac:dyDescent="0.15">
      <c r="A74" s="43" t="s">
        <v>902</v>
      </c>
      <c r="B74" s="19" t="s">
        <v>903</v>
      </c>
      <c r="C74" s="43" t="s">
        <v>301</v>
      </c>
      <c r="D74" s="44" t="s">
        <v>797</v>
      </c>
      <c r="E74" s="22" t="s">
        <v>894</v>
      </c>
      <c r="F74" s="22"/>
      <c r="G74" s="45"/>
      <c r="H74" s="45"/>
      <c r="I74" s="45"/>
      <c r="J74" s="22" t="s">
        <v>714</v>
      </c>
      <c r="K74" s="52" t="str">
        <f t="shared" ca="1" si="2"/>
        <v/>
      </c>
      <c r="L74" s="22"/>
    </row>
    <row r="75" spans="1:12" ht="14" x14ac:dyDescent="0.15">
      <c r="A75" s="43" t="s">
        <v>904</v>
      </c>
      <c r="B75" s="22"/>
      <c r="C75" s="44"/>
      <c r="D75" s="44"/>
      <c r="E75" s="22"/>
      <c r="F75" s="22"/>
      <c r="G75" s="45"/>
      <c r="H75" s="45"/>
      <c r="I75" s="45"/>
      <c r="J75" s="22"/>
      <c r="K75" s="52" t="str">
        <f t="shared" ca="1" si="2"/>
        <v/>
      </c>
      <c r="L75" s="22"/>
    </row>
    <row r="76" spans="1:12" ht="14" x14ac:dyDescent="0.15">
      <c r="A76" s="43" t="s">
        <v>905</v>
      </c>
      <c r="B76" s="22"/>
      <c r="C76" s="44"/>
      <c r="D76" s="44"/>
      <c r="E76" s="22"/>
      <c r="F76" s="22"/>
      <c r="G76" s="45"/>
      <c r="H76" s="45"/>
      <c r="I76" s="45"/>
      <c r="J76" s="22"/>
      <c r="K76" s="52" t="str">
        <f t="shared" ca="1" si="2"/>
        <v/>
      </c>
      <c r="L76" s="22"/>
    </row>
    <row r="77" spans="1:12" ht="14" x14ac:dyDescent="0.15">
      <c r="A77" s="43" t="s">
        <v>906</v>
      </c>
      <c r="B77" s="22"/>
      <c r="C77" s="44"/>
      <c r="D77" s="44"/>
      <c r="E77" s="22"/>
      <c r="F77" s="22"/>
      <c r="G77" s="45"/>
      <c r="H77" s="45"/>
      <c r="I77" s="45"/>
      <c r="J77" s="22"/>
      <c r="K77" s="52" t="str">
        <f t="shared" ca="1" si="2"/>
        <v/>
      </c>
      <c r="L77" s="22"/>
    </row>
    <row r="78" spans="1:12" ht="14" x14ac:dyDescent="0.15">
      <c r="A78" s="43" t="s">
        <v>907</v>
      </c>
      <c r="B78" s="22"/>
      <c r="C78" s="44"/>
      <c r="D78" s="44"/>
      <c r="E78" s="22"/>
      <c r="F78" s="22"/>
      <c r="G78" s="45"/>
      <c r="H78" s="45"/>
      <c r="I78" s="45"/>
      <c r="J78" s="22"/>
      <c r="K78" s="52" t="str">
        <f t="shared" ca="1" si="2"/>
        <v/>
      </c>
      <c r="L78" s="22"/>
    </row>
    <row r="79" spans="1:12" ht="14" x14ac:dyDescent="0.15">
      <c r="A79" s="43" t="s">
        <v>908</v>
      </c>
      <c r="B79" s="22"/>
      <c r="C79" s="44"/>
      <c r="D79" s="44"/>
      <c r="E79" s="22"/>
      <c r="F79" s="22"/>
      <c r="G79" s="45"/>
      <c r="H79" s="45"/>
      <c r="I79" s="45"/>
      <c r="J79" s="22"/>
      <c r="K79" s="52" t="str">
        <f t="shared" ca="1" si="2"/>
        <v/>
      </c>
      <c r="L79" s="22"/>
    </row>
    <row r="80" spans="1:12" ht="14" x14ac:dyDescent="0.15">
      <c r="A80" s="43" t="s">
        <v>909</v>
      </c>
      <c r="B80" s="22"/>
      <c r="C80" s="44"/>
      <c r="D80" s="44"/>
      <c r="E80" s="22"/>
      <c r="F80" s="22"/>
      <c r="G80" s="45"/>
      <c r="H80" s="45"/>
      <c r="I80" s="45"/>
      <c r="J80" s="22"/>
      <c r="K80" s="52" t="str">
        <f t="shared" ca="1" si="2"/>
        <v/>
      </c>
      <c r="L80" s="22"/>
    </row>
    <row r="81" spans="1:12" ht="14" x14ac:dyDescent="0.15">
      <c r="A81" s="43" t="s">
        <v>910</v>
      </c>
      <c r="B81" s="22"/>
      <c r="C81" s="44"/>
      <c r="D81" s="44"/>
      <c r="E81" s="22"/>
      <c r="F81" s="22"/>
      <c r="G81" s="45"/>
      <c r="H81" s="45"/>
      <c r="I81" s="45"/>
      <c r="J81" s="22"/>
      <c r="K81" s="52" t="str">
        <f t="shared" ca="1" si="2"/>
        <v/>
      </c>
      <c r="L81" s="22"/>
    </row>
    <row r="82" spans="1:12" ht="14" x14ac:dyDescent="0.15">
      <c r="A82" s="43" t="s">
        <v>911</v>
      </c>
      <c r="B82" s="22"/>
      <c r="C82" s="44"/>
      <c r="D82" s="44"/>
      <c r="E82" s="22"/>
      <c r="F82" s="22"/>
      <c r="G82" s="45"/>
      <c r="H82" s="45"/>
      <c r="I82" s="45"/>
      <c r="J82" s="22"/>
      <c r="K82" s="52" t="str">
        <f t="shared" ca="1" si="2"/>
        <v/>
      </c>
      <c r="L82" s="22"/>
    </row>
    <row r="83" spans="1:12" ht="14" x14ac:dyDescent="0.15">
      <c r="A83" s="43" t="s">
        <v>912</v>
      </c>
      <c r="B83" s="22"/>
      <c r="C83" s="44"/>
      <c r="D83" s="44"/>
      <c r="E83" s="22"/>
      <c r="F83" s="22"/>
      <c r="G83" s="45"/>
      <c r="H83" s="45"/>
      <c r="I83" s="45"/>
      <c r="J83" s="22"/>
      <c r="K83" s="52" t="str">
        <f t="shared" ca="1" si="2"/>
        <v/>
      </c>
      <c r="L83" s="22"/>
    </row>
    <row r="84" spans="1:12" ht="14" x14ac:dyDescent="0.15">
      <c r="A84" s="43" t="s">
        <v>913</v>
      </c>
      <c r="B84" s="22"/>
      <c r="C84" s="44"/>
      <c r="D84" s="44"/>
      <c r="E84" s="22"/>
      <c r="F84" s="22"/>
      <c r="G84" s="45"/>
      <c r="H84" s="45"/>
      <c r="I84" s="45"/>
      <c r="J84" s="22"/>
      <c r="K84" s="52" t="str">
        <f t="shared" ca="1" si="2"/>
        <v/>
      </c>
      <c r="L84" s="22"/>
    </row>
    <row r="85" spans="1:12" ht="14" x14ac:dyDescent="0.15">
      <c r="A85" s="43" t="s">
        <v>914</v>
      </c>
      <c r="B85" s="22"/>
      <c r="C85" s="44"/>
      <c r="D85" s="44"/>
      <c r="E85" s="22"/>
      <c r="F85" s="22"/>
      <c r="G85" s="45"/>
      <c r="H85" s="45"/>
      <c r="I85" s="45"/>
      <c r="J85" s="22"/>
      <c r="K85" s="52" t="str">
        <f t="shared" ca="1" si="2"/>
        <v/>
      </c>
      <c r="L85" s="22"/>
    </row>
    <row r="86" spans="1:12" ht="14" x14ac:dyDescent="0.15">
      <c r="A86" s="43" t="s">
        <v>915</v>
      </c>
      <c r="B86" s="22"/>
      <c r="C86" s="44"/>
      <c r="D86" s="44"/>
      <c r="E86" s="22"/>
      <c r="F86" s="22"/>
      <c r="G86" s="45"/>
      <c r="H86" s="45"/>
      <c r="I86" s="45"/>
      <c r="J86" s="22"/>
      <c r="K86" s="52" t="str">
        <f t="shared" ca="1" si="2"/>
        <v/>
      </c>
      <c r="L86" s="22"/>
    </row>
    <row r="87" spans="1:12" ht="14" x14ac:dyDescent="0.15">
      <c r="A87" s="43" t="s">
        <v>916</v>
      </c>
      <c r="B87" s="22"/>
      <c r="C87" s="44"/>
      <c r="D87" s="44"/>
      <c r="E87" s="22"/>
      <c r="F87" s="22"/>
      <c r="G87" s="45"/>
      <c r="H87" s="45"/>
      <c r="I87" s="45"/>
      <c r="J87" s="22"/>
      <c r="K87" s="52" t="str">
        <f t="shared" ca="1" si="2"/>
        <v/>
      </c>
      <c r="L87" s="22"/>
    </row>
    <row r="88" spans="1:12" ht="14" x14ac:dyDescent="0.15">
      <c r="A88" s="43" t="s">
        <v>917</v>
      </c>
      <c r="B88" s="22"/>
      <c r="C88" s="44"/>
      <c r="D88" s="44"/>
      <c r="E88" s="22"/>
      <c r="F88" s="22"/>
      <c r="G88" s="45"/>
      <c r="H88" s="45"/>
      <c r="I88" s="45"/>
      <c r="J88" s="22"/>
      <c r="K88" s="52" t="str">
        <f t="shared" ca="1" si="2"/>
        <v/>
      </c>
      <c r="L88" s="22"/>
    </row>
    <row r="89" spans="1:12" ht="14" x14ac:dyDescent="0.15">
      <c r="A89" s="43" t="s">
        <v>918</v>
      </c>
      <c r="B89" s="22"/>
      <c r="C89" s="44"/>
      <c r="D89" s="44"/>
      <c r="E89" s="22"/>
      <c r="F89" s="22"/>
      <c r="G89" s="45"/>
      <c r="H89" s="45"/>
      <c r="I89" s="45"/>
      <c r="J89" s="22"/>
      <c r="K89" s="52" t="str">
        <f t="shared" ca="1" si="2"/>
        <v/>
      </c>
      <c r="L89" s="22"/>
    </row>
  </sheetData>
  <autoFilter ref="A5:L89" xr:uid="{00000000-0009-0000-0000-000006000000}"/>
  <conditionalFormatting sqref="D6:D89">
    <cfRule type="cellIs" dxfId="61" priority="6" operator="equal">
      <formula>"High"</formula>
    </cfRule>
  </conditionalFormatting>
  <conditionalFormatting sqref="H6:H89">
    <cfRule type="expression" dxfId="60" priority="7">
      <formula>AND(ISNUMBER($H6),NOT(ISNUMBER($I6)),$H6&lt;TODAY())</formula>
    </cfRule>
  </conditionalFormatting>
  <conditionalFormatting sqref="J6:J89">
    <cfRule type="cellIs" dxfId="59" priority="2" operator="equal">
      <formula>"Received"</formula>
    </cfRule>
    <cfRule type="cellIs" dxfId="58" priority="3" operator="equal">
      <formula>"Requested"</formula>
    </cfRule>
    <cfRule type="cellIs" dxfId="57" priority="4" operator="equal">
      <formula>"Partially received"</formula>
    </cfRule>
    <cfRule type="cellIs" dxfId="56" priority="5" operator="equal">
      <formula>"Not available"</formula>
    </cfRule>
  </conditionalFormatting>
  <dataValidations count="1">
    <dataValidation type="date" operator="greaterThan" allowBlank="1" showErrorMessage="1" error="Enter a valid date (dd/mm/yyyy)." sqref="G6:I89" xr:uid="{00000000-0002-0000-0600-000000000000}">
      <formula1>36526</formula1>
      <formula2>0</formula2>
    </dataValidation>
  </dataValidations>
  <pageMargins left="0.4" right="0.4" top="0.5" bottom="0.5" header="0.511811023622047" footer="0.5"/>
  <pageSetup paperSize="9" fitToHeight="0" orientation="landscape" horizontalDpi="300" verticalDpi="300"/>
  <headerFooter>
    <oddFooter>&amp;L&amp;8 CTO Consulting | Operating Model Assessment Toolkit&amp;R&amp;8 &amp;A | Page &amp;P of &amp;N</oddFoot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Invalid entry" error="Please select a value from the list (values are maintained on the Lists tab)." xr:uid="{00000000-0002-0000-0600-000001000000}">
          <x14:formula1>
            <xm:f>Lists!$D$2:$D$4</xm:f>
          </x14:formula1>
          <x14:formula2>
            <xm:f>0</xm:f>
          </x14:formula2>
          <xm:sqref>D6:D89</xm:sqref>
        </x14:dataValidation>
        <x14:dataValidation type="list" allowBlank="1" showErrorMessage="1" errorTitle="Invalid entry" error="Please select a value from the list (values are maintained on the Lists tab)." xr:uid="{00000000-0002-0000-0600-000002000000}">
          <x14:formula1>
            <xm:f>Lists!$P$2:$P$6</xm:f>
          </x14:formula1>
          <x14:formula2>
            <xm:f>0</xm:f>
          </x14:formula2>
          <xm:sqref>J6:J89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5B6"/>
    <pageSetUpPr fitToPage="1"/>
  </sheetPr>
  <dimension ref="A1:Q179"/>
  <sheetViews>
    <sheetView showGridLines="0" zoomScale="90" zoomScaleNormal="9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baseColWidth="10" defaultColWidth="8.6640625" defaultRowHeight="13" x14ac:dyDescent="0.15"/>
  <cols>
    <col min="1" max="1" width="9" customWidth="1"/>
    <col min="2" max="2" width="18" customWidth="1"/>
    <col min="3" max="3" width="20" customWidth="1"/>
    <col min="4" max="4" width="46" customWidth="1"/>
    <col min="5" max="5" width="42" customWidth="1"/>
    <col min="6" max="8" width="11" customWidth="1"/>
    <col min="9" max="9" width="8" customWidth="1"/>
    <col min="10" max="10" width="10" customWidth="1"/>
    <col min="11" max="11" width="9" customWidth="1"/>
    <col min="12" max="12" width="12" customWidth="1"/>
    <col min="13" max="13" width="28" customWidth="1"/>
    <col min="14" max="14" width="40" customWidth="1"/>
    <col min="15" max="15" width="12" customWidth="1"/>
    <col min="16" max="16" width="34" customWidth="1"/>
    <col min="17" max="17" width="26" customWidth="1"/>
  </cols>
  <sheetData>
    <row r="1" spans="1:17" ht="27.75" customHeight="1" x14ac:dyDescent="0.15">
      <c r="A1" s="33" t="s">
        <v>919</v>
      </c>
    </row>
    <row r="2" spans="1:17" x14ac:dyDescent="0.15">
      <c r="A2" s="34" t="s">
        <v>920</v>
      </c>
    </row>
    <row r="3" spans="1:17" x14ac:dyDescent="0.15">
      <c r="A3" s="38" t="s">
        <v>423</v>
      </c>
    </row>
    <row r="5" spans="1:17" ht="43.5" customHeight="1" x14ac:dyDescent="0.15">
      <c r="A5" s="20" t="s">
        <v>424</v>
      </c>
      <c r="B5" s="20" t="s">
        <v>157</v>
      </c>
      <c r="C5" s="20" t="s">
        <v>921</v>
      </c>
      <c r="D5" s="20" t="s">
        <v>922</v>
      </c>
      <c r="E5" s="20" t="s">
        <v>923</v>
      </c>
      <c r="F5" s="20" t="s">
        <v>924</v>
      </c>
      <c r="G5" s="20" t="s">
        <v>925</v>
      </c>
      <c r="H5" s="20" t="s">
        <v>926</v>
      </c>
      <c r="I5" s="20" t="s">
        <v>927</v>
      </c>
      <c r="J5" s="20" t="s">
        <v>928</v>
      </c>
      <c r="K5" s="20" t="s">
        <v>929</v>
      </c>
      <c r="L5" s="20" t="s">
        <v>930</v>
      </c>
      <c r="M5" s="20" t="s">
        <v>931</v>
      </c>
      <c r="N5" s="20" t="s">
        <v>932</v>
      </c>
      <c r="O5" s="20" t="s">
        <v>933</v>
      </c>
      <c r="P5" s="20" t="s">
        <v>934</v>
      </c>
      <c r="Q5" s="20" t="s">
        <v>935</v>
      </c>
    </row>
    <row r="6" spans="1:17" ht="18" customHeight="1" x14ac:dyDescent="0.15">
      <c r="A6" s="16" t="s">
        <v>936</v>
      </c>
      <c r="B6" s="53"/>
      <c r="C6" s="53"/>
      <c r="D6" s="54" t="s">
        <v>169</v>
      </c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</row>
    <row r="7" spans="1:17" ht="42" x14ac:dyDescent="0.15">
      <c r="A7" s="19" t="s">
        <v>937</v>
      </c>
      <c r="B7" s="19" t="s">
        <v>168</v>
      </c>
      <c r="C7" s="19" t="s">
        <v>938</v>
      </c>
      <c r="D7" s="19" t="s">
        <v>939</v>
      </c>
      <c r="E7" s="19" t="s">
        <v>940</v>
      </c>
      <c r="F7" s="44">
        <v>2</v>
      </c>
      <c r="G7" s="44"/>
      <c r="H7" s="55">
        <f>Engagement!$C$39</f>
        <v>3</v>
      </c>
      <c r="I7" s="56" t="str">
        <f t="shared" ref="I7:I15" si="0">IF(AND(ISNUMBER(G7),ISNUMBER(H7)),H7-G7,"")</f>
        <v/>
      </c>
      <c r="J7" s="52" t="str">
        <f t="shared" ref="J7:J15" si="1">IF(AND(ISNUMBER(I7),ISNUMBER(F7)),MAX(0,I7)*F7,"")</f>
        <v/>
      </c>
      <c r="K7" s="57" t="str">
        <f>IF(ISNUMBER(I7),IF(I7&gt;=Engagement!$C$40,"Red",IF(I7&gt;=Engagement!$C$41,"Amber","Green")),"")</f>
        <v/>
      </c>
      <c r="L7" s="22"/>
      <c r="M7" s="22"/>
      <c r="N7" s="22"/>
      <c r="O7" s="22"/>
      <c r="P7" s="19" t="s">
        <v>941</v>
      </c>
      <c r="Q7" s="19" t="s">
        <v>942</v>
      </c>
    </row>
    <row r="8" spans="1:17" ht="42" x14ac:dyDescent="0.15">
      <c r="A8" s="19" t="s">
        <v>943</v>
      </c>
      <c r="B8" s="19" t="s">
        <v>168</v>
      </c>
      <c r="C8" s="19" t="s">
        <v>944</v>
      </c>
      <c r="D8" s="19" t="s">
        <v>945</v>
      </c>
      <c r="E8" s="19" t="s">
        <v>946</v>
      </c>
      <c r="F8" s="44">
        <v>2</v>
      </c>
      <c r="G8" s="44"/>
      <c r="H8" s="55">
        <f>Engagement!$C$39</f>
        <v>3</v>
      </c>
      <c r="I8" s="56" t="str">
        <f t="shared" si="0"/>
        <v/>
      </c>
      <c r="J8" s="52" t="str">
        <f t="shared" si="1"/>
        <v/>
      </c>
      <c r="K8" s="57" t="str">
        <f>IF(ISNUMBER(I8),IF(I8&gt;=Engagement!$C$40,"Red",IF(I8&gt;=Engagement!$C$41,"Amber","Green")),"")</f>
        <v/>
      </c>
      <c r="L8" s="22"/>
      <c r="M8" s="22"/>
      <c r="N8" s="22"/>
      <c r="O8" s="22"/>
      <c r="P8" s="19" t="s">
        <v>947</v>
      </c>
      <c r="Q8" s="19" t="s">
        <v>948</v>
      </c>
    </row>
    <row r="9" spans="1:17" ht="42" x14ac:dyDescent="0.15">
      <c r="A9" s="19" t="s">
        <v>949</v>
      </c>
      <c r="B9" s="19" t="s">
        <v>168</v>
      </c>
      <c r="C9" s="19" t="s">
        <v>950</v>
      </c>
      <c r="D9" s="19" t="s">
        <v>951</v>
      </c>
      <c r="E9" s="19" t="s">
        <v>952</v>
      </c>
      <c r="F9" s="44">
        <v>2</v>
      </c>
      <c r="G9" s="44"/>
      <c r="H9" s="55">
        <f>Engagement!$C$39</f>
        <v>3</v>
      </c>
      <c r="I9" s="56" t="str">
        <f t="shared" si="0"/>
        <v/>
      </c>
      <c r="J9" s="52" t="str">
        <f t="shared" si="1"/>
        <v/>
      </c>
      <c r="K9" s="57" t="str">
        <f>IF(ISNUMBER(I9),IF(I9&gt;=Engagement!$C$40,"Red",IF(I9&gt;=Engagement!$C$41,"Amber","Green")),"")</f>
        <v/>
      </c>
      <c r="L9" s="22"/>
      <c r="M9" s="22"/>
      <c r="N9" s="22"/>
      <c r="O9" s="22"/>
      <c r="P9" s="19" t="s">
        <v>953</v>
      </c>
      <c r="Q9" s="19" t="s">
        <v>954</v>
      </c>
    </row>
    <row r="10" spans="1:17" ht="42" x14ac:dyDescent="0.15">
      <c r="A10" s="19" t="s">
        <v>955</v>
      </c>
      <c r="B10" s="19" t="s">
        <v>168</v>
      </c>
      <c r="C10" s="19" t="s">
        <v>956</v>
      </c>
      <c r="D10" s="19" t="s">
        <v>957</v>
      </c>
      <c r="E10" s="19" t="s">
        <v>958</v>
      </c>
      <c r="F10" s="44">
        <v>2</v>
      </c>
      <c r="G10" s="44"/>
      <c r="H10" s="55">
        <f>Engagement!$C$39</f>
        <v>3</v>
      </c>
      <c r="I10" s="56" t="str">
        <f t="shared" si="0"/>
        <v/>
      </c>
      <c r="J10" s="52" t="str">
        <f t="shared" si="1"/>
        <v/>
      </c>
      <c r="K10" s="57" t="str">
        <f>IF(ISNUMBER(I10),IF(I10&gt;=Engagement!$C$40,"Red",IF(I10&gt;=Engagement!$C$41,"Amber","Green")),"")</f>
        <v/>
      </c>
      <c r="L10" s="22"/>
      <c r="M10" s="22"/>
      <c r="N10" s="22"/>
      <c r="O10" s="22"/>
      <c r="P10" s="19" t="s">
        <v>959</v>
      </c>
      <c r="Q10" s="19" t="s">
        <v>960</v>
      </c>
    </row>
    <row r="11" spans="1:17" ht="56" x14ac:dyDescent="0.15">
      <c r="A11" s="19" t="s">
        <v>961</v>
      </c>
      <c r="B11" s="19" t="s">
        <v>168</v>
      </c>
      <c r="C11" s="19" t="s">
        <v>962</v>
      </c>
      <c r="D11" s="19" t="s">
        <v>963</v>
      </c>
      <c r="E11" s="19" t="s">
        <v>964</v>
      </c>
      <c r="F11" s="44">
        <v>2</v>
      </c>
      <c r="G11" s="44"/>
      <c r="H11" s="55">
        <f>Engagement!$C$39</f>
        <v>3</v>
      </c>
      <c r="I11" s="56" t="str">
        <f t="shared" si="0"/>
        <v/>
      </c>
      <c r="J11" s="52" t="str">
        <f t="shared" si="1"/>
        <v/>
      </c>
      <c r="K11" s="57" t="str">
        <f>IF(ISNUMBER(I11),IF(I11&gt;=Engagement!$C$40,"Red",IF(I11&gt;=Engagement!$C$41,"Amber","Green")),"")</f>
        <v/>
      </c>
      <c r="L11" s="22"/>
      <c r="M11" s="22"/>
      <c r="N11" s="22"/>
      <c r="O11" s="22"/>
      <c r="P11" s="19" t="s">
        <v>965</v>
      </c>
      <c r="Q11" s="19" t="s">
        <v>966</v>
      </c>
    </row>
    <row r="12" spans="1:17" ht="42" x14ac:dyDescent="0.15">
      <c r="A12" s="19" t="s">
        <v>967</v>
      </c>
      <c r="B12" s="19" t="s">
        <v>168</v>
      </c>
      <c r="C12" s="19" t="s">
        <v>968</v>
      </c>
      <c r="D12" s="19" t="s">
        <v>969</v>
      </c>
      <c r="E12" s="19" t="s">
        <v>970</v>
      </c>
      <c r="F12" s="44">
        <v>2</v>
      </c>
      <c r="G12" s="44"/>
      <c r="H12" s="55">
        <f>Engagement!$C$39</f>
        <v>3</v>
      </c>
      <c r="I12" s="56" t="str">
        <f t="shared" si="0"/>
        <v/>
      </c>
      <c r="J12" s="52" t="str">
        <f t="shared" si="1"/>
        <v/>
      </c>
      <c r="K12" s="57" t="str">
        <f>IF(ISNUMBER(I12),IF(I12&gt;=Engagement!$C$40,"Red",IF(I12&gt;=Engagement!$C$41,"Amber","Green")),"")</f>
        <v/>
      </c>
      <c r="L12" s="22"/>
      <c r="M12" s="22"/>
      <c r="N12" s="22"/>
      <c r="O12" s="22"/>
      <c r="P12" s="19" t="s">
        <v>971</v>
      </c>
      <c r="Q12" s="19" t="s">
        <v>972</v>
      </c>
    </row>
    <row r="13" spans="1:17" ht="42" x14ac:dyDescent="0.15">
      <c r="A13" s="19" t="s">
        <v>973</v>
      </c>
      <c r="B13" s="19" t="s">
        <v>168</v>
      </c>
      <c r="C13" s="19" t="s">
        <v>974</v>
      </c>
      <c r="D13" s="19" t="s">
        <v>975</v>
      </c>
      <c r="E13" s="19" t="s">
        <v>976</v>
      </c>
      <c r="F13" s="44">
        <v>2</v>
      </c>
      <c r="G13" s="44"/>
      <c r="H13" s="55">
        <f>Engagement!$C$39</f>
        <v>3</v>
      </c>
      <c r="I13" s="56" t="str">
        <f t="shared" si="0"/>
        <v/>
      </c>
      <c r="J13" s="52" t="str">
        <f t="shared" si="1"/>
        <v/>
      </c>
      <c r="K13" s="57" t="str">
        <f>IF(ISNUMBER(I13),IF(I13&gt;=Engagement!$C$40,"Red",IF(I13&gt;=Engagement!$C$41,"Amber","Green")),"")</f>
        <v/>
      </c>
      <c r="L13" s="22"/>
      <c r="M13" s="22"/>
      <c r="N13" s="22"/>
      <c r="O13" s="22"/>
      <c r="P13" s="19" t="s">
        <v>977</v>
      </c>
      <c r="Q13" s="19" t="s">
        <v>978</v>
      </c>
    </row>
    <row r="14" spans="1:17" ht="42" x14ac:dyDescent="0.15">
      <c r="A14" s="19" t="s">
        <v>979</v>
      </c>
      <c r="B14" s="19" t="s">
        <v>168</v>
      </c>
      <c r="C14" s="19" t="s">
        <v>980</v>
      </c>
      <c r="D14" s="19" t="s">
        <v>981</v>
      </c>
      <c r="E14" s="19" t="s">
        <v>982</v>
      </c>
      <c r="F14" s="44">
        <v>2</v>
      </c>
      <c r="G14" s="44"/>
      <c r="H14" s="55">
        <f>Engagement!$C$39</f>
        <v>3</v>
      </c>
      <c r="I14" s="56" t="str">
        <f t="shared" si="0"/>
        <v/>
      </c>
      <c r="J14" s="52" t="str">
        <f t="shared" si="1"/>
        <v/>
      </c>
      <c r="K14" s="57" t="str">
        <f>IF(ISNUMBER(I14),IF(I14&gt;=Engagement!$C$40,"Red",IF(I14&gt;=Engagement!$C$41,"Amber","Green")),"")</f>
        <v/>
      </c>
      <c r="L14" s="22"/>
      <c r="M14" s="22"/>
      <c r="N14" s="22"/>
      <c r="O14" s="22"/>
      <c r="P14" s="19" t="s">
        <v>983</v>
      </c>
      <c r="Q14" s="19" t="s">
        <v>984</v>
      </c>
    </row>
    <row r="15" spans="1:17" ht="42" x14ac:dyDescent="0.15">
      <c r="A15" s="19" t="s">
        <v>985</v>
      </c>
      <c r="B15" s="19" t="s">
        <v>168</v>
      </c>
      <c r="C15" s="19" t="s">
        <v>986</v>
      </c>
      <c r="D15" s="19" t="s">
        <v>987</v>
      </c>
      <c r="E15" s="19" t="s">
        <v>988</v>
      </c>
      <c r="F15" s="44">
        <v>2</v>
      </c>
      <c r="G15" s="44"/>
      <c r="H15" s="55">
        <f>Engagement!$C$39</f>
        <v>3</v>
      </c>
      <c r="I15" s="56" t="str">
        <f t="shared" si="0"/>
        <v/>
      </c>
      <c r="J15" s="52" t="str">
        <f t="shared" si="1"/>
        <v/>
      </c>
      <c r="K15" s="57" t="str">
        <f>IF(ISNUMBER(I15),IF(I15&gt;=Engagement!$C$40,"Red",IF(I15&gt;=Engagement!$C$41,"Amber","Green")),"")</f>
        <v/>
      </c>
      <c r="L15" s="22"/>
      <c r="M15" s="22"/>
      <c r="N15" s="22"/>
      <c r="O15" s="22"/>
      <c r="P15" s="19" t="s">
        <v>989</v>
      </c>
      <c r="Q15" s="19" t="s">
        <v>990</v>
      </c>
    </row>
    <row r="16" spans="1:17" ht="18" customHeight="1" x14ac:dyDescent="0.15">
      <c r="A16" s="16" t="s">
        <v>991</v>
      </c>
      <c r="B16" s="53"/>
      <c r="C16" s="53"/>
      <c r="D16" s="54" t="s">
        <v>179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</row>
    <row r="17" spans="1:17" ht="42" x14ac:dyDescent="0.15">
      <c r="A17" s="19" t="s">
        <v>992</v>
      </c>
      <c r="B17" s="19" t="s">
        <v>178</v>
      </c>
      <c r="C17" s="19" t="s">
        <v>993</v>
      </c>
      <c r="D17" s="19" t="s">
        <v>994</v>
      </c>
      <c r="E17" s="19" t="s">
        <v>995</v>
      </c>
      <c r="F17" s="44">
        <v>2</v>
      </c>
      <c r="G17" s="44"/>
      <c r="H17" s="55">
        <f>Engagement!$C$39</f>
        <v>3</v>
      </c>
      <c r="I17" s="56" t="str">
        <f t="shared" ref="I17:I25" si="2">IF(AND(ISNUMBER(G17),ISNUMBER(H17)),H17-G17,"")</f>
        <v/>
      </c>
      <c r="J17" s="52" t="str">
        <f t="shared" ref="J17:J25" si="3">IF(AND(ISNUMBER(I17),ISNUMBER(F17)),MAX(0,I17)*F17,"")</f>
        <v/>
      </c>
      <c r="K17" s="57" t="str">
        <f>IF(ISNUMBER(I17),IF(I17&gt;=Engagement!$C$40,"Red",IF(I17&gt;=Engagement!$C$41,"Amber","Green")),"")</f>
        <v/>
      </c>
      <c r="L17" s="22"/>
      <c r="M17" s="22"/>
      <c r="N17" s="22"/>
      <c r="O17" s="22"/>
      <c r="P17" s="19" t="s">
        <v>996</v>
      </c>
      <c r="Q17" s="19" t="s">
        <v>997</v>
      </c>
    </row>
    <row r="18" spans="1:17" ht="42" x14ac:dyDescent="0.15">
      <c r="A18" s="19" t="s">
        <v>998</v>
      </c>
      <c r="B18" s="19" t="s">
        <v>178</v>
      </c>
      <c r="C18" s="19" t="s">
        <v>999</v>
      </c>
      <c r="D18" s="19" t="s">
        <v>1000</v>
      </c>
      <c r="E18" s="19" t="s">
        <v>1001</v>
      </c>
      <c r="F18" s="44">
        <v>2</v>
      </c>
      <c r="G18" s="44"/>
      <c r="H18" s="55">
        <f>Engagement!$C$39</f>
        <v>3</v>
      </c>
      <c r="I18" s="56" t="str">
        <f t="shared" si="2"/>
        <v/>
      </c>
      <c r="J18" s="52" t="str">
        <f t="shared" si="3"/>
        <v/>
      </c>
      <c r="K18" s="57" t="str">
        <f>IF(ISNUMBER(I18),IF(I18&gt;=Engagement!$C$40,"Red",IF(I18&gt;=Engagement!$C$41,"Amber","Green")),"")</f>
        <v/>
      </c>
      <c r="L18" s="22"/>
      <c r="M18" s="22"/>
      <c r="N18" s="22"/>
      <c r="O18" s="22"/>
      <c r="P18" s="19" t="s">
        <v>1002</v>
      </c>
      <c r="Q18" s="19" t="s">
        <v>1003</v>
      </c>
    </row>
    <row r="19" spans="1:17" ht="42" x14ac:dyDescent="0.15">
      <c r="A19" s="19" t="s">
        <v>1004</v>
      </c>
      <c r="B19" s="19" t="s">
        <v>178</v>
      </c>
      <c r="C19" s="19" t="s">
        <v>1005</v>
      </c>
      <c r="D19" s="19" t="s">
        <v>1006</v>
      </c>
      <c r="E19" s="19" t="s">
        <v>1007</v>
      </c>
      <c r="F19" s="44">
        <v>2</v>
      </c>
      <c r="G19" s="44"/>
      <c r="H19" s="55">
        <f>Engagement!$C$39</f>
        <v>3</v>
      </c>
      <c r="I19" s="56" t="str">
        <f t="shared" si="2"/>
        <v/>
      </c>
      <c r="J19" s="52" t="str">
        <f t="shared" si="3"/>
        <v/>
      </c>
      <c r="K19" s="57" t="str">
        <f>IF(ISNUMBER(I19),IF(I19&gt;=Engagement!$C$40,"Red",IF(I19&gt;=Engagement!$C$41,"Amber","Green")),"")</f>
        <v/>
      </c>
      <c r="L19" s="22"/>
      <c r="M19" s="22"/>
      <c r="N19" s="22"/>
      <c r="O19" s="22"/>
      <c r="P19" s="19" t="s">
        <v>1008</v>
      </c>
      <c r="Q19" s="19" t="s">
        <v>1009</v>
      </c>
    </row>
    <row r="20" spans="1:17" ht="42" x14ac:dyDescent="0.15">
      <c r="A20" s="19" t="s">
        <v>1010</v>
      </c>
      <c r="B20" s="19" t="s">
        <v>178</v>
      </c>
      <c r="C20" s="19" t="s">
        <v>1011</v>
      </c>
      <c r="D20" s="19" t="s">
        <v>1012</v>
      </c>
      <c r="E20" s="19" t="s">
        <v>1013</v>
      </c>
      <c r="F20" s="44">
        <v>2</v>
      </c>
      <c r="G20" s="44"/>
      <c r="H20" s="55">
        <f>Engagement!$C$39</f>
        <v>3</v>
      </c>
      <c r="I20" s="56" t="str">
        <f t="shared" si="2"/>
        <v/>
      </c>
      <c r="J20" s="52" t="str">
        <f t="shared" si="3"/>
        <v/>
      </c>
      <c r="K20" s="57" t="str">
        <f>IF(ISNUMBER(I20),IF(I20&gt;=Engagement!$C$40,"Red",IF(I20&gt;=Engagement!$C$41,"Amber","Green")),"")</f>
        <v/>
      </c>
      <c r="L20" s="22"/>
      <c r="M20" s="22"/>
      <c r="N20" s="22"/>
      <c r="O20" s="22"/>
      <c r="P20" s="19" t="s">
        <v>1014</v>
      </c>
      <c r="Q20" s="19" t="s">
        <v>1015</v>
      </c>
    </row>
    <row r="21" spans="1:17" ht="42" x14ac:dyDescent="0.15">
      <c r="A21" s="19" t="s">
        <v>1016</v>
      </c>
      <c r="B21" s="19" t="s">
        <v>178</v>
      </c>
      <c r="C21" s="19" t="s">
        <v>1017</v>
      </c>
      <c r="D21" s="19" t="s">
        <v>1018</v>
      </c>
      <c r="E21" s="19" t="s">
        <v>1019</v>
      </c>
      <c r="F21" s="44">
        <v>2</v>
      </c>
      <c r="G21" s="44"/>
      <c r="H21" s="55">
        <f>Engagement!$C$39</f>
        <v>3</v>
      </c>
      <c r="I21" s="56" t="str">
        <f t="shared" si="2"/>
        <v/>
      </c>
      <c r="J21" s="52" t="str">
        <f t="shared" si="3"/>
        <v/>
      </c>
      <c r="K21" s="57" t="str">
        <f>IF(ISNUMBER(I21),IF(I21&gt;=Engagement!$C$40,"Red",IF(I21&gt;=Engagement!$C$41,"Amber","Green")),"")</f>
        <v/>
      </c>
      <c r="L21" s="22"/>
      <c r="M21" s="22"/>
      <c r="N21" s="22"/>
      <c r="O21" s="22"/>
      <c r="P21" s="19" t="s">
        <v>1020</v>
      </c>
      <c r="Q21" s="19" t="s">
        <v>1021</v>
      </c>
    </row>
    <row r="22" spans="1:17" ht="42" x14ac:dyDescent="0.15">
      <c r="A22" s="19" t="s">
        <v>1022</v>
      </c>
      <c r="B22" s="19" t="s">
        <v>178</v>
      </c>
      <c r="C22" s="19" t="s">
        <v>1023</v>
      </c>
      <c r="D22" s="19" t="s">
        <v>1024</v>
      </c>
      <c r="E22" s="19" t="s">
        <v>1025</v>
      </c>
      <c r="F22" s="44">
        <v>2</v>
      </c>
      <c r="G22" s="44"/>
      <c r="H22" s="55">
        <f>Engagement!$C$39</f>
        <v>3</v>
      </c>
      <c r="I22" s="56" t="str">
        <f t="shared" si="2"/>
        <v/>
      </c>
      <c r="J22" s="52" t="str">
        <f t="shared" si="3"/>
        <v/>
      </c>
      <c r="K22" s="57" t="str">
        <f>IF(ISNUMBER(I22),IF(I22&gt;=Engagement!$C$40,"Red",IF(I22&gt;=Engagement!$C$41,"Amber","Green")),"")</f>
        <v/>
      </c>
      <c r="L22" s="22"/>
      <c r="M22" s="22"/>
      <c r="N22" s="22"/>
      <c r="O22" s="22"/>
      <c r="P22" s="19" t="s">
        <v>1026</v>
      </c>
      <c r="Q22" s="19" t="s">
        <v>1027</v>
      </c>
    </row>
    <row r="23" spans="1:17" ht="42" x14ac:dyDescent="0.15">
      <c r="A23" s="19" t="s">
        <v>1028</v>
      </c>
      <c r="B23" s="19" t="s">
        <v>178</v>
      </c>
      <c r="C23" s="19" t="s">
        <v>1029</v>
      </c>
      <c r="D23" s="19" t="s">
        <v>1030</v>
      </c>
      <c r="E23" s="19" t="s">
        <v>1031</v>
      </c>
      <c r="F23" s="44">
        <v>2</v>
      </c>
      <c r="G23" s="44"/>
      <c r="H23" s="55">
        <f>Engagement!$C$39</f>
        <v>3</v>
      </c>
      <c r="I23" s="56" t="str">
        <f t="shared" si="2"/>
        <v/>
      </c>
      <c r="J23" s="52" t="str">
        <f t="shared" si="3"/>
        <v/>
      </c>
      <c r="K23" s="57" t="str">
        <f>IF(ISNUMBER(I23),IF(I23&gt;=Engagement!$C$40,"Red",IF(I23&gt;=Engagement!$C$41,"Amber","Green")),"")</f>
        <v/>
      </c>
      <c r="L23" s="22"/>
      <c r="M23" s="22"/>
      <c r="N23" s="22"/>
      <c r="O23" s="22"/>
      <c r="P23" s="19" t="s">
        <v>1032</v>
      </c>
      <c r="Q23" s="19" t="s">
        <v>1033</v>
      </c>
    </row>
    <row r="24" spans="1:17" ht="42" x14ac:dyDescent="0.15">
      <c r="A24" s="19" t="s">
        <v>1034</v>
      </c>
      <c r="B24" s="19" t="s">
        <v>178</v>
      </c>
      <c r="C24" s="19" t="s">
        <v>1035</v>
      </c>
      <c r="D24" s="19" t="s">
        <v>1036</v>
      </c>
      <c r="E24" s="19" t="s">
        <v>1037</v>
      </c>
      <c r="F24" s="44">
        <v>2</v>
      </c>
      <c r="G24" s="44"/>
      <c r="H24" s="55">
        <f>Engagement!$C$39</f>
        <v>3</v>
      </c>
      <c r="I24" s="56" t="str">
        <f t="shared" si="2"/>
        <v/>
      </c>
      <c r="J24" s="52" t="str">
        <f t="shared" si="3"/>
        <v/>
      </c>
      <c r="K24" s="57" t="str">
        <f>IF(ISNUMBER(I24),IF(I24&gt;=Engagement!$C$40,"Red",IF(I24&gt;=Engagement!$C$41,"Amber","Green")),"")</f>
        <v/>
      </c>
      <c r="L24" s="22"/>
      <c r="M24" s="22"/>
      <c r="N24" s="22"/>
      <c r="O24" s="22"/>
      <c r="P24" s="19" t="s">
        <v>1038</v>
      </c>
      <c r="Q24" s="19" t="s">
        <v>1039</v>
      </c>
    </row>
    <row r="25" spans="1:17" ht="42" x14ac:dyDescent="0.15">
      <c r="A25" s="19" t="s">
        <v>1040</v>
      </c>
      <c r="B25" s="19" t="s">
        <v>178</v>
      </c>
      <c r="C25" s="19" t="s">
        <v>1041</v>
      </c>
      <c r="D25" s="19" t="s">
        <v>1042</v>
      </c>
      <c r="E25" s="19" t="s">
        <v>1043</v>
      </c>
      <c r="F25" s="44">
        <v>2</v>
      </c>
      <c r="G25" s="44"/>
      <c r="H25" s="55">
        <f>Engagement!$C$39</f>
        <v>3</v>
      </c>
      <c r="I25" s="56" t="str">
        <f t="shared" si="2"/>
        <v/>
      </c>
      <c r="J25" s="52" t="str">
        <f t="shared" si="3"/>
        <v/>
      </c>
      <c r="K25" s="57" t="str">
        <f>IF(ISNUMBER(I25),IF(I25&gt;=Engagement!$C$40,"Red",IF(I25&gt;=Engagement!$C$41,"Amber","Green")),"")</f>
        <v/>
      </c>
      <c r="L25" s="22"/>
      <c r="M25" s="22"/>
      <c r="N25" s="22"/>
      <c r="O25" s="22"/>
      <c r="P25" s="19" t="s">
        <v>1044</v>
      </c>
      <c r="Q25" s="19" t="s">
        <v>1045</v>
      </c>
    </row>
    <row r="26" spans="1:17" ht="18" customHeight="1" x14ac:dyDescent="0.15">
      <c r="A26" s="16" t="s">
        <v>1046</v>
      </c>
      <c r="B26" s="53"/>
      <c r="C26" s="53"/>
      <c r="D26" s="54" t="s">
        <v>187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</row>
    <row r="27" spans="1:17" ht="42" x14ac:dyDescent="0.15">
      <c r="A27" s="19" t="s">
        <v>1047</v>
      </c>
      <c r="B27" s="19" t="s">
        <v>186</v>
      </c>
      <c r="C27" s="19" t="s">
        <v>1048</v>
      </c>
      <c r="D27" s="19" t="s">
        <v>1049</v>
      </c>
      <c r="E27" s="19" t="s">
        <v>1050</v>
      </c>
      <c r="F27" s="44">
        <v>2</v>
      </c>
      <c r="G27" s="44"/>
      <c r="H27" s="55">
        <f>Engagement!$C$39</f>
        <v>3</v>
      </c>
      <c r="I27" s="56" t="str">
        <f t="shared" ref="I27:I34" si="4">IF(AND(ISNUMBER(G27),ISNUMBER(H27)),H27-G27,"")</f>
        <v/>
      </c>
      <c r="J27" s="52" t="str">
        <f t="shared" ref="J27:J34" si="5">IF(AND(ISNUMBER(I27),ISNUMBER(F27)),MAX(0,I27)*F27,"")</f>
        <v/>
      </c>
      <c r="K27" s="57" t="str">
        <f>IF(ISNUMBER(I27),IF(I27&gt;=Engagement!$C$40,"Red",IF(I27&gt;=Engagement!$C$41,"Amber","Green")),"")</f>
        <v/>
      </c>
      <c r="L27" s="22"/>
      <c r="M27" s="22"/>
      <c r="N27" s="22"/>
      <c r="O27" s="22"/>
      <c r="P27" s="19" t="s">
        <v>1051</v>
      </c>
      <c r="Q27" s="19" t="s">
        <v>1052</v>
      </c>
    </row>
    <row r="28" spans="1:17" ht="28" x14ac:dyDescent="0.15">
      <c r="A28" s="19" t="s">
        <v>1053</v>
      </c>
      <c r="B28" s="19" t="s">
        <v>186</v>
      </c>
      <c r="C28" s="19" t="s">
        <v>1054</v>
      </c>
      <c r="D28" s="19" t="s">
        <v>1055</v>
      </c>
      <c r="E28" s="19" t="s">
        <v>1056</v>
      </c>
      <c r="F28" s="44">
        <v>2</v>
      </c>
      <c r="G28" s="44"/>
      <c r="H28" s="55">
        <f>Engagement!$C$39</f>
        <v>3</v>
      </c>
      <c r="I28" s="56" t="str">
        <f t="shared" si="4"/>
        <v/>
      </c>
      <c r="J28" s="52" t="str">
        <f t="shared" si="5"/>
        <v/>
      </c>
      <c r="K28" s="57" t="str">
        <f>IF(ISNUMBER(I28),IF(I28&gt;=Engagement!$C$40,"Red",IF(I28&gt;=Engagement!$C$41,"Amber","Green")),"")</f>
        <v/>
      </c>
      <c r="L28" s="22"/>
      <c r="M28" s="22"/>
      <c r="N28" s="22"/>
      <c r="O28" s="22"/>
      <c r="P28" s="19" t="s">
        <v>1057</v>
      </c>
      <c r="Q28" s="19" t="s">
        <v>1058</v>
      </c>
    </row>
    <row r="29" spans="1:17" ht="28" x14ac:dyDescent="0.15">
      <c r="A29" s="19" t="s">
        <v>1059</v>
      </c>
      <c r="B29" s="19" t="s">
        <v>186</v>
      </c>
      <c r="C29" s="19" t="s">
        <v>1060</v>
      </c>
      <c r="D29" s="19" t="s">
        <v>1061</v>
      </c>
      <c r="E29" s="19" t="s">
        <v>1062</v>
      </c>
      <c r="F29" s="44">
        <v>2</v>
      </c>
      <c r="G29" s="44"/>
      <c r="H29" s="55">
        <f>Engagement!$C$39</f>
        <v>3</v>
      </c>
      <c r="I29" s="56" t="str">
        <f t="shared" si="4"/>
        <v/>
      </c>
      <c r="J29" s="52" t="str">
        <f t="shared" si="5"/>
        <v/>
      </c>
      <c r="K29" s="57" t="str">
        <f>IF(ISNUMBER(I29),IF(I29&gt;=Engagement!$C$40,"Red",IF(I29&gt;=Engagement!$C$41,"Amber","Green")),"")</f>
        <v/>
      </c>
      <c r="L29" s="22"/>
      <c r="M29" s="22"/>
      <c r="N29" s="22"/>
      <c r="O29" s="22"/>
      <c r="P29" s="19" t="s">
        <v>1063</v>
      </c>
      <c r="Q29" s="19" t="s">
        <v>1064</v>
      </c>
    </row>
    <row r="30" spans="1:17" ht="28" x14ac:dyDescent="0.15">
      <c r="A30" s="19" t="s">
        <v>1065</v>
      </c>
      <c r="B30" s="19" t="s">
        <v>186</v>
      </c>
      <c r="C30" s="19" t="s">
        <v>1066</v>
      </c>
      <c r="D30" s="19" t="s">
        <v>1067</v>
      </c>
      <c r="E30" s="19" t="s">
        <v>1068</v>
      </c>
      <c r="F30" s="44">
        <v>2</v>
      </c>
      <c r="G30" s="44"/>
      <c r="H30" s="55">
        <f>Engagement!$C$39</f>
        <v>3</v>
      </c>
      <c r="I30" s="56" t="str">
        <f t="shared" si="4"/>
        <v/>
      </c>
      <c r="J30" s="52" t="str">
        <f t="shared" si="5"/>
        <v/>
      </c>
      <c r="K30" s="57" t="str">
        <f>IF(ISNUMBER(I30),IF(I30&gt;=Engagement!$C$40,"Red",IF(I30&gt;=Engagement!$C$41,"Amber","Green")),"")</f>
        <v/>
      </c>
      <c r="L30" s="22"/>
      <c r="M30" s="22"/>
      <c r="N30" s="22"/>
      <c r="O30" s="22"/>
      <c r="P30" s="19" t="s">
        <v>1069</v>
      </c>
      <c r="Q30" s="19" t="s">
        <v>1070</v>
      </c>
    </row>
    <row r="31" spans="1:17" ht="42" x14ac:dyDescent="0.15">
      <c r="A31" s="19" t="s">
        <v>1071</v>
      </c>
      <c r="B31" s="19" t="s">
        <v>186</v>
      </c>
      <c r="C31" s="19" t="s">
        <v>1072</v>
      </c>
      <c r="D31" s="19" t="s">
        <v>1073</v>
      </c>
      <c r="E31" s="19" t="s">
        <v>1074</v>
      </c>
      <c r="F31" s="44">
        <v>2</v>
      </c>
      <c r="G31" s="44"/>
      <c r="H31" s="55">
        <f>Engagement!$C$39</f>
        <v>3</v>
      </c>
      <c r="I31" s="56" t="str">
        <f t="shared" si="4"/>
        <v/>
      </c>
      <c r="J31" s="52" t="str">
        <f t="shared" si="5"/>
        <v/>
      </c>
      <c r="K31" s="57" t="str">
        <f>IF(ISNUMBER(I31),IF(I31&gt;=Engagement!$C$40,"Red",IF(I31&gt;=Engagement!$C$41,"Amber","Green")),"")</f>
        <v/>
      </c>
      <c r="L31" s="22"/>
      <c r="M31" s="22"/>
      <c r="N31" s="22"/>
      <c r="O31" s="22"/>
      <c r="P31" s="19" t="s">
        <v>1075</v>
      </c>
      <c r="Q31" s="19" t="s">
        <v>1076</v>
      </c>
    </row>
    <row r="32" spans="1:17" ht="28" x14ac:dyDescent="0.15">
      <c r="A32" s="19" t="s">
        <v>1077</v>
      </c>
      <c r="B32" s="19" t="s">
        <v>186</v>
      </c>
      <c r="C32" s="19" t="s">
        <v>1078</v>
      </c>
      <c r="D32" s="19" t="s">
        <v>1079</v>
      </c>
      <c r="E32" s="19" t="s">
        <v>1080</v>
      </c>
      <c r="F32" s="44">
        <v>2</v>
      </c>
      <c r="G32" s="44"/>
      <c r="H32" s="55">
        <f>Engagement!$C$39</f>
        <v>3</v>
      </c>
      <c r="I32" s="56" t="str">
        <f t="shared" si="4"/>
        <v/>
      </c>
      <c r="J32" s="52" t="str">
        <f t="shared" si="5"/>
        <v/>
      </c>
      <c r="K32" s="57" t="str">
        <f>IF(ISNUMBER(I32),IF(I32&gt;=Engagement!$C$40,"Red",IF(I32&gt;=Engagement!$C$41,"Amber","Green")),"")</f>
        <v/>
      </c>
      <c r="L32" s="22"/>
      <c r="M32" s="22"/>
      <c r="N32" s="22"/>
      <c r="O32" s="22"/>
      <c r="P32" s="19" t="s">
        <v>1081</v>
      </c>
      <c r="Q32" s="19" t="s">
        <v>1082</v>
      </c>
    </row>
    <row r="33" spans="1:17" ht="28" x14ac:dyDescent="0.15">
      <c r="A33" s="19" t="s">
        <v>1083</v>
      </c>
      <c r="B33" s="19" t="s">
        <v>186</v>
      </c>
      <c r="C33" s="19" t="s">
        <v>1084</v>
      </c>
      <c r="D33" s="19" t="s">
        <v>1085</v>
      </c>
      <c r="E33" s="19" t="s">
        <v>1086</v>
      </c>
      <c r="F33" s="44">
        <v>2</v>
      </c>
      <c r="G33" s="44"/>
      <c r="H33" s="55">
        <f>Engagement!$C$39</f>
        <v>3</v>
      </c>
      <c r="I33" s="56" t="str">
        <f t="shared" si="4"/>
        <v/>
      </c>
      <c r="J33" s="52" t="str">
        <f t="shared" si="5"/>
        <v/>
      </c>
      <c r="K33" s="57" t="str">
        <f>IF(ISNUMBER(I33),IF(I33&gt;=Engagement!$C$40,"Red",IF(I33&gt;=Engagement!$C$41,"Amber","Green")),"")</f>
        <v/>
      </c>
      <c r="L33" s="22"/>
      <c r="M33" s="22"/>
      <c r="N33" s="22"/>
      <c r="O33" s="22"/>
      <c r="P33" s="19" t="s">
        <v>1087</v>
      </c>
      <c r="Q33" s="19" t="s">
        <v>1058</v>
      </c>
    </row>
    <row r="34" spans="1:17" ht="42" x14ac:dyDescent="0.15">
      <c r="A34" s="19" t="s">
        <v>1088</v>
      </c>
      <c r="B34" s="19" t="s">
        <v>186</v>
      </c>
      <c r="C34" s="19" t="s">
        <v>1089</v>
      </c>
      <c r="D34" s="19" t="s">
        <v>1090</v>
      </c>
      <c r="E34" s="19" t="s">
        <v>1091</v>
      </c>
      <c r="F34" s="44">
        <v>2</v>
      </c>
      <c r="G34" s="44"/>
      <c r="H34" s="55">
        <f>Engagement!$C$39</f>
        <v>3</v>
      </c>
      <c r="I34" s="56" t="str">
        <f t="shared" si="4"/>
        <v/>
      </c>
      <c r="J34" s="52" t="str">
        <f t="shared" si="5"/>
        <v/>
      </c>
      <c r="K34" s="57" t="str">
        <f>IF(ISNUMBER(I34),IF(I34&gt;=Engagement!$C$40,"Red",IF(I34&gt;=Engagement!$C$41,"Amber","Green")),"")</f>
        <v/>
      </c>
      <c r="L34" s="22"/>
      <c r="M34" s="22"/>
      <c r="N34" s="22"/>
      <c r="O34" s="22"/>
      <c r="P34" s="19" t="s">
        <v>1092</v>
      </c>
      <c r="Q34" s="19" t="s">
        <v>1093</v>
      </c>
    </row>
    <row r="35" spans="1:17" ht="18" customHeight="1" x14ac:dyDescent="0.15">
      <c r="A35" s="16" t="s">
        <v>1094</v>
      </c>
      <c r="B35" s="53"/>
      <c r="C35" s="53"/>
      <c r="D35" s="54" t="s">
        <v>195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</row>
    <row r="36" spans="1:17" ht="42" x14ac:dyDescent="0.15">
      <c r="A36" s="19" t="s">
        <v>1095</v>
      </c>
      <c r="B36" s="19" t="s">
        <v>194</v>
      </c>
      <c r="C36" s="19" t="s">
        <v>1096</v>
      </c>
      <c r="D36" s="19" t="s">
        <v>1097</v>
      </c>
      <c r="E36" s="19" t="s">
        <v>1098</v>
      </c>
      <c r="F36" s="44">
        <v>2</v>
      </c>
      <c r="G36" s="44"/>
      <c r="H36" s="55">
        <f>Engagement!$C$39</f>
        <v>3</v>
      </c>
      <c r="I36" s="56" t="str">
        <f t="shared" ref="I36:I45" si="6">IF(AND(ISNUMBER(G36),ISNUMBER(H36)),H36-G36,"")</f>
        <v/>
      </c>
      <c r="J36" s="52" t="str">
        <f t="shared" ref="J36:J45" si="7">IF(AND(ISNUMBER(I36),ISNUMBER(F36)),MAX(0,I36)*F36,"")</f>
        <v/>
      </c>
      <c r="K36" s="57" t="str">
        <f>IF(ISNUMBER(I36),IF(I36&gt;=Engagement!$C$40,"Red",IF(I36&gt;=Engagement!$C$41,"Amber","Green")),"")</f>
        <v/>
      </c>
      <c r="L36" s="22"/>
      <c r="M36" s="22"/>
      <c r="N36" s="22"/>
      <c r="O36" s="22"/>
      <c r="P36" s="19" t="s">
        <v>1099</v>
      </c>
      <c r="Q36" s="19" t="s">
        <v>1100</v>
      </c>
    </row>
    <row r="37" spans="1:17" ht="42" x14ac:dyDescent="0.15">
      <c r="A37" s="19" t="s">
        <v>1101</v>
      </c>
      <c r="B37" s="19" t="s">
        <v>194</v>
      </c>
      <c r="C37" s="19" t="s">
        <v>1102</v>
      </c>
      <c r="D37" s="19" t="s">
        <v>1103</v>
      </c>
      <c r="E37" s="19" t="s">
        <v>1104</v>
      </c>
      <c r="F37" s="44">
        <v>2</v>
      </c>
      <c r="G37" s="44"/>
      <c r="H37" s="55">
        <f>Engagement!$C$39</f>
        <v>3</v>
      </c>
      <c r="I37" s="56" t="str">
        <f t="shared" si="6"/>
        <v/>
      </c>
      <c r="J37" s="52" t="str">
        <f t="shared" si="7"/>
        <v/>
      </c>
      <c r="K37" s="57" t="str">
        <f>IF(ISNUMBER(I37),IF(I37&gt;=Engagement!$C$40,"Red",IF(I37&gt;=Engagement!$C$41,"Amber","Green")),"")</f>
        <v/>
      </c>
      <c r="L37" s="22"/>
      <c r="M37" s="22"/>
      <c r="N37" s="22"/>
      <c r="O37" s="22"/>
      <c r="P37" s="19" t="s">
        <v>1105</v>
      </c>
      <c r="Q37" s="19" t="s">
        <v>1106</v>
      </c>
    </row>
    <row r="38" spans="1:17" ht="42" x14ac:dyDescent="0.15">
      <c r="A38" s="19" t="s">
        <v>1107</v>
      </c>
      <c r="B38" s="19" t="s">
        <v>194</v>
      </c>
      <c r="C38" s="19" t="s">
        <v>1108</v>
      </c>
      <c r="D38" s="19" t="s">
        <v>1109</v>
      </c>
      <c r="E38" s="19" t="s">
        <v>1110</v>
      </c>
      <c r="F38" s="44">
        <v>2</v>
      </c>
      <c r="G38" s="44"/>
      <c r="H38" s="55">
        <f>Engagement!$C$39</f>
        <v>3</v>
      </c>
      <c r="I38" s="56" t="str">
        <f t="shared" si="6"/>
        <v/>
      </c>
      <c r="J38" s="52" t="str">
        <f t="shared" si="7"/>
        <v/>
      </c>
      <c r="K38" s="57" t="str">
        <f>IF(ISNUMBER(I38),IF(I38&gt;=Engagement!$C$40,"Red",IF(I38&gt;=Engagement!$C$41,"Amber","Green")),"")</f>
        <v/>
      </c>
      <c r="L38" s="22"/>
      <c r="M38" s="22"/>
      <c r="N38" s="22"/>
      <c r="O38" s="22"/>
      <c r="P38" s="19" t="s">
        <v>1111</v>
      </c>
      <c r="Q38" s="19" t="s">
        <v>1112</v>
      </c>
    </row>
    <row r="39" spans="1:17" ht="42" x14ac:dyDescent="0.15">
      <c r="A39" s="19" t="s">
        <v>1113</v>
      </c>
      <c r="B39" s="19" t="s">
        <v>194</v>
      </c>
      <c r="C39" s="19" t="s">
        <v>1114</v>
      </c>
      <c r="D39" s="19" t="s">
        <v>1115</v>
      </c>
      <c r="E39" s="19" t="s">
        <v>1116</v>
      </c>
      <c r="F39" s="44">
        <v>2</v>
      </c>
      <c r="G39" s="44"/>
      <c r="H39" s="55">
        <f>Engagement!$C$39</f>
        <v>3</v>
      </c>
      <c r="I39" s="56" t="str">
        <f t="shared" si="6"/>
        <v/>
      </c>
      <c r="J39" s="52" t="str">
        <f t="shared" si="7"/>
        <v/>
      </c>
      <c r="K39" s="57" t="str">
        <f>IF(ISNUMBER(I39),IF(I39&gt;=Engagement!$C$40,"Red",IF(I39&gt;=Engagement!$C$41,"Amber","Green")),"")</f>
        <v/>
      </c>
      <c r="L39" s="22"/>
      <c r="M39" s="22"/>
      <c r="N39" s="22"/>
      <c r="O39" s="22"/>
      <c r="P39" s="19" t="s">
        <v>1117</v>
      </c>
      <c r="Q39" s="19" t="s">
        <v>1118</v>
      </c>
    </row>
    <row r="40" spans="1:17" ht="28" x14ac:dyDescent="0.15">
      <c r="A40" s="19" t="s">
        <v>1119</v>
      </c>
      <c r="B40" s="19" t="s">
        <v>194</v>
      </c>
      <c r="C40" s="19" t="s">
        <v>1120</v>
      </c>
      <c r="D40" s="19" t="s">
        <v>1121</v>
      </c>
      <c r="E40" s="19" t="s">
        <v>1122</v>
      </c>
      <c r="F40" s="44">
        <v>2</v>
      </c>
      <c r="G40" s="44"/>
      <c r="H40" s="55">
        <f>Engagement!$C$39</f>
        <v>3</v>
      </c>
      <c r="I40" s="56" t="str">
        <f t="shared" si="6"/>
        <v/>
      </c>
      <c r="J40" s="52" t="str">
        <f t="shared" si="7"/>
        <v/>
      </c>
      <c r="K40" s="57" t="str">
        <f>IF(ISNUMBER(I40),IF(I40&gt;=Engagement!$C$40,"Red",IF(I40&gt;=Engagement!$C$41,"Amber","Green")),"")</f>
        <v/>
      </c>
      <c r="L40" s="22"/>
      <c r="M40" s="22"/>
      <c r="N40" s="22"/>
      <c r="O40" s="22"/>
      <c r="P40" s="19" t="s">
        <v>1123</v>
      </c>
      <c r="Q40" s="19" t="s">
        <v>1124</v>
      </c>
    </row>
    <row r="41" spans="1:17" ht="42" x14ac:dyDescent="0.15">
      <c r="A41" s="19" t="s">
        <v>1125</v>
      </c>
      <c r="B41" s="19" t="s">
        <v>194</v>
      </c>
      <c r="C41" s="19" t="s">
        <v>1126</v>
      </c>
      <c r="D41" s="19" t="s">
        <v>1127</v>
      </c>
      <c r="E41" s="19" t="s">
        <v>1128</v>
      </c>
      <c r="F41" s="44">
        <v>2</v>
      </c>
      <c r="G41" s="44"/>
      <c r="H41" s="55">
        <f>Engagement!$C$39</f>
        <v>3</v>
      </c>
      <c r="I41" s="56" t="str">
        <f t="shared" si="6"/>
        <v/>
      </c>
      <c r="J41" s="52" t="str">
        <f t="shared" si="7"/>
        <v/>
      </c>
      <c r="K41" s="57" t="str">
        <f>IF(ISNUMBER(I41),IF(I41&gt;=Engagement!$C$40,"Red",IF(I41&gt;=Engagement!$C$41,"Amber","Green")),"")</f>
        <v/>
      </c>
      <c r="L41" s="22"/>
      <c r="M41" s="22"/>
      <c r="N41" s="22"/>
      <c r="O41" s="22"/>
      <c r="P41" s="19" t="s">
        <v>1129</v>
      </c>
      <c r="Q41" s="19" t="s">
        <v>1130</v>
      </c>
    </row>
    <row r="42" spans="1:17" ht="42" x14ac:dyDescent="0.15">
      <c r="A42" s="19" t="s">
        <v>1131</v>
      </c>
      <c r="B42" s="19" t="s">
        <v>194</v>
      </c>
      <c r="C42" s="19" t="s">
        <v>1132</v>
      </c>
      <c r="D42" s="19" t="s">
        <v>1133</v>
      </c>
      <c r="E42" s="19" t="s">
        <v>1134</v>
      </c>
      <c r="F42" s="44">
        <v>2</v>
      </c>
      <c r="G42" s="44"/>
      <c r="H42" s="55">
        <f>Engagement!$C$39</f>
        <v>3</v>
      </c>
      <c r="I42" s="56" t="str">
        <f t="shared" si="6"/>
        <v/>
      </c>
      <c r="J42" s="52" t="str">
        <f t="shared" si="7"/>
        <v/>
      </c>
      <c r="K42" s="57" t="str">
        <f>IF(ISNUMBER(I42),IF(I42&gt;=Engagement!$C$40,"Red",IF(I42&gt;=Engagement!$C$41,"Amber","Green")),"")</f>
        <v/>
      </c>
      <c r="L42" s="22"/>
      <c r="M42" s="22"/>
      <c r="N42" s="22"/>
      <c r="O42" s="22"/>
      <c r="P42" s="19" t="s">
        <v>1135</v>
      </c>
      <c r="Q42" s="19" t="s">
        <v>1136</v>
      </c>
    </row>
    <row r="43" spans="1:17" ht="28" x14ac:dyDescent="0.15">
      <c r="A43" s="19" t="s">
        <v>1137</v>
      </c>
      <c r="B43" s="19" t="s">
        <v>194</v>
      </c>
      <c r="C43" s="19" t="s">
        <v>1138</v>
      </c>
      <c r="D43" s="19" t="s">
        <v>1139</v>
      </c>
      <c r="E43" s="19" t="s">
        <v>1140</v>
      </c>
      <c r="F43" s="44">
        <v>2</v>
      </c>
      <c r="G43" s="44"/>
      <c r="H43" s="55">
        <f>Engagement!$C$39</f>
        <v>3</v>
      </c>
      <c r="I43" s="56" t="str">
        <f t="shared" si="6"/>
        <v/>
      </c>
      <c r="J43" s="52" t="str">
        <f t="shared" si="7"/>
        <v/>
      </c>
      <c r="K43" s="57" t="str">
        <f>IF(ISNUMBER(I43),IF(I43&gt;=Engagement!$C$40,"Red",IF(I43&gt;=Engagement!$C$41,"Amber","Green")),"")</f>
        <v/>
      </c>
      <c r="L43" s="22"/>
      <c r="M43" s="22"/>
      <c r="N43" s="22"/>
      <c r="O43" s="22"/>
      <c r="P43" s="19" t="s">
        <v>1141</v>
      </c>
      <c r="Q43" s="19" t="s">
        <v>1142</v>
      </c>
    </row>
    <row r="44" spans="1:17" ht="42" x14ac:dyDescent="0.15">
      <c r="A44" s="19" t="s">
        <v>1143</v>
      </c>
      <c r="B44" s="19" t="s">
        <v>194</v>
      </c>
      <c r="C44" s="19" t="s">
        <v>1144</v>
      </c>
      <c r="D44" s="19" t="s">
        <v>1145</v>
      </c>
      <c r="E44" s="19" t="s">
        <v>1146</v>
      </c>
      <c r="F44" s="44">
        <v>2</v>
      </c>
      <c r="G44" s="44"/>
      <c r="H44" s="55">
        <f>Engagement!$C$39</f>
        <v>3</v>
      </c>
      <c r="I44" s="56" t="str">
        <f t="shared" si="6"/>
        <v/>
      </c>
      <c r="J44" s="52" t="str">
        <f t="shared" si="7"/>
        <v/>
      </c>
      <c r="K44" s="57" t="str">
        <f>IF(ISNUMBER(I44),IF(I44&gt;=Engagement!$C$40,"Red",IF(I44&gt;=Engagement!$C$41,"Amber","Green")),"")</f>
        <v/>
      </c>
      <c r="L44" s="22"/>
      <c r="M44" s="22"/>
      <c r="N44" s="22"/>
      <c r="O44" s="22"/>
      <c r="P44" s="19" t="s">
        <v>1147</v>
      </c>
      <c r="Q44" s="19" t="s">
        <v>1148</v>
      </c>
    </row>
    <row r="45" spans="1:17" ht="28" x14ac:dyDescent="0.15">
      <c r="A45" s="19" t="s">
        <v>1149</v>
      </c>
      <c r="B45" s="19" t="s">
        <v>194</v>
      </c>
      <c r="C45" s="19" t="s">
        <v>1150</v>
      </c>
      <c r="D45" s="19" t="s">
        <v>1151</v>
      </c>
      <c r="E45" s="19" t="s">
        <v>1152</v>
      </c>
      <c r="F45" s="44">
        <v>2</v>
      </c>
      <c r="G45" s="44"/>
      <c r="H45" s="55">
        <f>Engagement!$C$39</f>
        <v>3</v>
      </c>
      <c r="I45" s="56" t="str">
        <f t="shared" si="6"/>
        <v/>
      </c>
      <c r="J45" s="52" t="str">
        <f t="shared" si="7"/>
        <v/>
      </c>
      <c r="K45" s="57" t="str">
        <f>IF(ISNUMBER(I45),IF(I45&gt;=Engagement!$C$40,"Red",IF(I45&gt;=Engagement!$C$41,"Amber","Green")),"")</f>
        <v/>
      </c>
      <c r="L45" s="22"/>
      <c r="M45" s="22"/>
      <c r="N45" s="22"/>
      <c r="O45" s="22"/>
      <c r="P45" s="19" t="s">
        <v>1153</v>
      </c>
      <c r="Q45" s="19" t="s">
        <v>1154</v>
      </c>
    </row>
    <row r="46" spans="1:17" ht="18" customHeight="1" x14ac:dyDescent="0.15">
      <c r="A46" s="16" t="s">
        <v>1155</v>
      </c>
      <c r="B46" s="53"/>
      <c r="C46" s="53"/>
      <c r="D46" s="54" t="s">
        <v>204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</row>
    <row r="47" spans="1:17" ht="42" x14ac:dyDescent="0.15">
      <c r="A47" s="19" t="s">
        <v>1156</v>
      </c>
      <c r="B47" s="19" t="s">
        <v>203</v>
      </c>
      <c r="C47" s="19" t="s">
        <v>1157</v>
      </c>
      <c r="D47" s="19" t="s">
        <v>1158</v>
      </c>
      <c r="E47" s="19" t="s">
        <v>1159</v>
      </c>
      <c r="F47" s="44">
        <v>2</v>
      </c>
      <c r="G47" s="44"/>
      <c r="H47" s="55">
        <f>Engagement!$C$39</f>
        <v>3</v>
      </c>
      <c r="I47" s="56" t="str">
        <f t="shared" ref="I47:I54" si="8">IF(AND(ISNUMBER(G47),ISNUMBER(H47)),H47-G47,"")</f>
        <v/>
      </c>
      <c r="J47" s="52" t="str">
        <f t="shared" ref="J47:J54" si="9">IF(AND(ISNUMBER(I47),ISNUMBER(F47)),MAX(0,I47)*F47,"")</f>
        <v/>
      </c>
      <c r="K47" s="57" t="str">
        <f>IF(ISNUMBER(I47),IF(I47&gt;=Engagement!$C$40,"Red",IF(I47&gt;=Engagement!$C$41,"Amber","Green")),"")</f>
        <v/>
      </c>
      <c r="L47" s="22"/>
      <c r="M47" s="22"/>
      <c r="N47" s="22"/>
      <c r="O47" s="22"/>
      <c r="P47" s="19" t="s">
        <v>1160</v>
      </c>
      <c r="Q47" s="19" t="s">
        <v>1161</v>
      </c>
    </row>
    <row r="48" spans="1:17" ht="28" x14ac:dyDescent="0.15">
      <c r="A48" s="19" t="s">
        <v>1162</v>
      </c>
      <c r="B48" s="19" t="s">
        <v>203</v>
      </c>
      <c r="C48" s="19" t="s">
        <v>1163</v>
      </c>
      <c r="D48" s="19" t="s">
        <v>1164</v>
      </c>
      <c r="E48" s="19" t="s">
        <v>1165</v>
      </c>
      <c r="F48" s="44">
        <v>2</v>
      </c>
      <c r="G48" s="44"/>
      <c r="H48" s="55">
        <f>Engagement!$C$39</f>
        <v>3</v>
      </c>
      <c r="I48" s="56" t="str">
        <f t="shared" si="8"/>
        <v/>
      </c>
      <c r="J48" s="52" t="str">
        <f t="shared" si="9"/>
        <v/>
      </c>
      <c r="K48" s="57" t="str">
        <f>IF(ISNUMBER(I48),IF(I48&gt;=Engagement!$C$40,"Red",IF(I48&gt;=Engagement!$C$41,"Amber","Green")),"")</f>
        <v/>
      </c>
      <c r="L48" s="22"/>
      <c r="M48" s="22"/>
      <c r="N48" s="22"/>
      <c r="O48" s="22"/>
      <c r="P48" s="19" t="s">
        <v>1166</v>
      </c>
      <c r="Q48" s="19" t="s">
        <v>1167</v>
      </c>
    </row>
    <row r="49" spans="1:17" ht="28" x14ac:dyDescent="0.15">
      <c r="A49" s="19" t="s">
        <v>1168</v>
      </c>
      <c r="B49" s="19" t="s">
        <v>203</v>
      </c>
      <c r="C49" s="19" t="s">
        <v>1169</v>
      </c>
      <c r="D49" s="19" t="s">
        <v>1170</v>
      </c>
      <c r="E49" s="19" t="s">
        <v>1171</v>
      </c>
      <c r="F49" s="44">
        <v>2</v>
      </c>
      <c r="G49" s="44"/>
      <c r="H49" s="55">
        <f>Engagement!$C$39</f>
        <v>3</v>
      </c>
      <c r="I49" s="56" t="str">
        <f t="shared" si="8"/>
        <v/>
      </c>
      <c r="J49" s="52" t="str">
        <f t="shared" si="9"/>
        <v/>
      </c>
      <c r="K49" s="57" t="str">
        <f>IF(ISNUMBER(I49),IF(I49&gt;=Engagement!$C$40,"Red",IF(I49&gt;=Engagement!$C$41,"Amber","Green")),"")</f>
        <v/>
      </c>
      <c r="L49" s="22"/>
      <c r="M49" s="22"/>
      <c r="N49" s="22"/>
      <c r="O49" s="22"/>
      <c r="P49" s="19" t="s">
        <v>1172</v>
      </c>
      <c r="Q49" s="19" t="s">
        <v>1173</v>
      </c>
    </row>
    <row r="50" spans="1:17" ht="28" x14ac:dyDescent="0.15">
      <c r="A50" s="19" t="s">
        <v>1174</v>
      </c>
      <c r="B50" s="19" t="s">
        <v>203</v>
      </c>
      <c r="C50" s="19" t="s">
        <v>1175</v>
      </c>
      <c r="D50" s="19" t="s">
        <v>1176</v>
      </c>
      <c r="E50" s="19" t="s">
        <v>1177</v>
      </c>
      <c r="F50" s="44">
        <v>2</v>
      </c>
      <c r="G50" s="44"/>
      <c r="H50" s="55">
        <f>Engagement!$C$39</f>
        <v>3</v>
      </c>
      <c r="I50" s="56" t="str">
        <f t="shared" si="8"/>
        <v/>
      </c>
      <c r="J50" s="52" t="str">
        <f t="shared" si="9"/>
        <v/>
      </c>
      <c r="K50" s="57" t="str">
        <f>IF(ISNUMBER(I50),IF(I50&gt;=Engagement!$C$40,"Red",IF(I50&gt;=Engagement!$C$41,"Amber","Green")),"")</f>
        <v/>
      </c>
      <c r="L50" s="22"/>
      <c r="M50" s="22"/>
      <c r="N50" s="22"/>
      <c r="O50" s="22"/>
      <c r="P50" s="19" t="s">
        <v>1178</v>
      </c>
      <c r="Q50" s="19" t="s">
        <v>1179</v>
      </c>
    </row>
    <row r="51" spans="1:17" ht="28" x14ac:dyDescent="0.15">
      <c r="A51" s="19" t="s">
        <v>1180</v>
      </c>
      <c r="B51" s="19" t="s">
        <v>203</v>
      </c>
      <c r="C51" s="19" t="s">
        <v>1181</v>
      </c>
      <c r="D51" s="19" t="s">
        <v>1182</v>
      </c>
      <c r="E51" s="19" t="s">
        <v>1183</v>
      </c>
      <c r="F51" s="44">
        <v>2</v>
      </c>
      <c r="G51" s="44"/>
      <c r="H51" s="55">
        <f>Engagement!$C$39</f>
        <v>3</v>
      </c>
      <c r="I51" s="56" t="str">
        <f t="shared" si="8"/>
        <v/>
      </c>
      <c r="J51" s="52" t="str">
        <f t="shared" si="9"/>
        <v/>
      </c>
      <c r="K51" s="57" t="str">
        <f>IF(ISNUMBER(I51),IF(I51&gt;=Engagement!$C$40,"Red",IF(I51&gt;=Engagement!$C$41,"Amber","Green")),"")</f>
        <v/>
      </c>
      <c r="L51" s="22"/>
      <c r="M51" s="22"/>
      <c r="N51" s="22"/>
      <c r="O51" s="22"/>
      <c r="P51" s="19" t="s">
        <v>1184</v>
      </c>
      <c r="Q51" s="19" t="s">
        <v>1185</v>
      </c>
    </row>
    <row r="52" spans="1:17" ht="28" x14ac:dyDescent="0.15">
      <c r="A52" s="19" t="s">
        <v>1186</v>
      </c>
      <c r="B52" s="19" t="s">
        <v>203</v>
      </c>
      <c r="C52" s="19" t="s">
        <v>1187</v>
      </c>
      <c r="D52" s="19" t="s">
        <v>1188</v>
      </c>
      <c r="E52" s="19" t="s">
        <v>1189</v>
      </c>
      <c r="F52" s="44">
        <v>2</v>
      </c>
      <c r="G52" s="44"/>
      <c r="H52" s="55">
        <f>Engagement!$C$39</f>
        <v>3</v>
      </c>
      <c r="I52" s="56" t="str">
        <f t="shared" si="8"/>
        <v/>
      </c>
      <c r="J52" s="52" t="str">
        <f t="shared" si="9"/>
        <v/>
      </c>
      <c r="K52" s="57" t="str">
        <f>IF(ISNUMBER(I52),IF(I52&gt;=Engagement!$C$40,"Red",IF(I52&gt;=Engagement!$C$41,"Amber","Green")),"")</f>
        <v/>
      </c>
      <c r="L52" s="22"/>
      <c r="M52" s="22"/>
      <c r="N52" s="22"/>
      <c r="O52" s="22"/>
      <c r="P52" s="19" t="s">
        <v>1190</v>
      </c>
      <c r="Q52" s="19" t="s">
        <v>1191</v>
      </c>
    </row>
    <row r="53" spans="1:17" ht="28" x14ac:dyDescent="0.15">
      <c r="A53" s="19" t="s">
        <v>1192</v>
      </c>
      <c r="B53" s="19" t="s">
        <v>203</v>
      </c>
      <c r="C53" s="19" t="s">
        <v>1193</v>
      </c>
      <c r="D53" s="19" t="s">
        <v>1194</v>
      </c>
      <c r="E53" s="19" t="s">
        <v>1195</v>
      </c>
      <c r="F53" s="44">
        <v>2</v>
      </c>
      <c r="G53" s="44"/>
      <c r="H53" s="55">
        <f>Engagement!$C$39</f>
        <v>3</v>
      </c>
      <c r="I53" s="56" t="str">
        <f t="shared" si="8"/>
        <v/>
      </c>
      <c r="J53" s="52" t="str">
        <f t="shared" si="9"/>
        <v/>
      </c>
      <c r="K53" s="57" t="str">
        <f>IF(ISNUMBER(I53),IF(I53&gt;=Engagement!$C$40,"Red",IF(I53&gt;=Engagement!$C$41,"Amber","Green")),"")</f>
        <v/>
      </c>
      <c r="L53" s="22"/>
      <c r="M53" s="22"/>
      <c r="N53" s="22"/>
      <c r="O53" s="22"/>
      <c r="P53" s="19" t="s">
        <v>1196</v>
      </c>
      <c r="Q53" s="19" t="s">
        <v>1197</v>
      </c>
    </row>
    <row r="54" spans="1:17" ht="28" x14ac:dyDescent="0.15">
      <c r="A54" s="19" t="s">
        <v>1198</v>
      </c>
      <c r="B54" s="19" t="s">
        <v>203</v>
      </c>
      <c r="C54" s="19" t="s">
        <v>1199</v>
      </c>
      <c r="D54" s="19" t="s">
        <v>1200</v>
      </c>
      <c r="E54" s="19" t="s">
        <v>1201</v>
      </c>
      <c r="F54" s="44">
        <v>2</v>
      </c>
      <c r="G54" s="44"/>
      <c r="H54" s="55">
        <f>Engagement!$C$39</f>
        <v>3</v>
      </c>
      <c r="I54" s="56" t="str">
        <f t="shared" si="8"/>
        <v/>
      </c>
      <c r="J54" s="52" t="str">
        <f t="shared" si="9"/>
        <v/>
      </c>
      <c r="K54" s="57" t="str">
        <f>IF(ISNUMBER(I54),IF(I54&gt;=Engagement!$C$40,"Red",IF(I54&gt;=Engagement!$C$41,"Amber","Green")),"")</f>
        <v/>
      </c>
      <c r="L54" s="22"/>
      <c r="M54" s="22"/>
      <c r="N54" s="22"/>
      <c r="O54" s="22"/>
      <c r="P54" s="19" t="s">
        <v>1202</v>
      </c>
      <c r="Q54" s="19" t="s">
        <v>1203</v>
      </c>
    </row>
    <row r="55" spans="1:17" ht="18" customHeight="1" x14ac:dyDescent="0.15">
      <c r="A55" s="16" t="s">
        <v>1204</v>
      </c>
      <c r="B55" s="53"/>
      <c r="C55" s="53"/>
      <c r="D55" s="54" t="s">
        <v>213</v>
      </c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</row>
    <row r="56" spans="1:17" ht="42" x14ac:dyDescent="0.15">
      <c r="A56" s="19" t="s">
        <v>1205</v>
      </c>
      <c r="B56" s="19" t="s">
        <v>212</v>
      </c>
      <c r="C56" s="19" t="s">
        <v>1206</v>
      </c>
      <c r="D56" s="19" t="s">
        <v>1207</v>
      </c>
      <c r="E56" s="19" t="s">
        <v>1208</v>
      </c>
      <c r="F56" s="44">
        <v>2</v>
      </c>
      <c r="G56" s="44"/>
      <c r="H56" s="55">
        <f>Engagement!$C$39</f>
        <v>3</v>
      </c>
      <c r="I56" s="56" t="str">
        <f t="shared" ref="I56:I64" si="10">IF(AND(ISNUMBER(G56),ISNUMBER(H56)),H56-G56,"")</f>
        <v/>
      </c>
      <c r="J56" s="52" t="str">
        <f t="shared" ref="J56:J64" si="11">IF(AND(ISNUMBER(I56),ISNUMBER(F56)),MAX(0,I56)*F56,"")</f>
        <v/>
      </c>
      <c r="K56" s="57" t="str">
        <f>IF(ISNUMBER(I56),IF(I56&gt;=Engagement!$C$40,"Red",IF(I56&gt;=Engagement!$C$41,"Amber","Green")),"")</f>
        <v/>
      </c>
      <c r="L56" s="22"/>
      <c r="M56" s="22"/>
      <c r="N56" s="22"/>
      <c r="O56" s="22"/>
      <c r="P56" s="19" t="s">
        <v>1209</v>
      </c>
      <c r="Q56" s="19" t="s">
        <v>1210</v>
      </c>
    </row>
    <row r="57" spans="1:17" ht="28" x14ac:dyDescent="0.15">
      <c r="A57" s="19" t="s">
        <v>1211</v>
      </c>
      <c r="B57" s="19" t="s">
        <v>212</v>
      </c>
      <c r="C57" s="19" t="s">
        <v>1212</v>
      </c>
      <c r="D57" s="19" t="s">
        <v>1213</v>
      </c>
      <c r="E57" s="19" t="s">
        <v>1214</v>
      </c>
      <c r="F57" s="44">
        <v>2</v>
      </c>
      <c r="G57" s="44"/>
      <c r="H57" s="55">
        <f>Engagement!$C$39</f>
        <v>3</v>
      </c>
      <c r="I57" s="56" t="str">
        <f t="shared" si="10"/>
        <v/>
      </c>
      <c r="J57" s="52" t="str">
        <f t="shared" si="11"/>
        <v/>
      </c>
      <c r="K57" s="57" t="str">
        <f>IF(ISNUMBER(I57),IF(I57&gt;=Engagement!$C$40,"Red",IF(I57&gt;=Engagement!$C$41,"Amber","Green")),"")</f>
        <v/>
      </c>
      <c r="L57" s="22"/>
      <c r="M57" s="22"/>
      <c r="N57" s="22"/>
      <c r="O57" s="22"/>
      <c r="P57" s="19" t="s">
        <v>1215</v>
      </c>
      <c r="Q57" s="19" t="s">
        <v>1216</v>
      </c>
    </row>
    <row r="58" spans="1:17" ht="42" x14ac:dyDescent="0.15">
      <c r="A58" s="19" t="s">
        <v>1217</v>
      </c>
      <c r="B58" s="19" t="s">
        <v>212</v>
      </c>
      <c r="C58" s="19" t="s">
        <v>1218</v>
      </c>
      <c r="D58" s="19" t="s">
        <v>1219</v>
      </c>
      <c r="E58" s="19" t="s">
        <v>1220</v>
      </c>
      <c r="F58" s="44">
        <v>2</v>
      </c>
      <c r="G58" s="44"/>
      <c r="H58" s="55">
        <f>Engagement!$C$39</f>
        <v>3</v>
      </c>
      <c r="I58" s="56" t="str">
        <f t="shared" si="10"/>
        <v/>
      </c>
      <c r="J58" s="52" t="str">
        <f t="shared" si="11"/>
        <v/>
      </c>
      <c r="K58" s="57" t="str">
        <f>IF(ISNUMBER(I58),IF(I58&gt;=Engagement!$C$40,"Red",IF(I58&gt;=Engagement!$C$41,"Amber","Green")),"")</f>
        <v/>
      </c>
      <c r="L58" s="22"/>
      <c r="M58" s="22"/>
      <c r="N58" s="22"/>
      <c r="O58" s="22"/>
      <c r="P58" s="19" t="s">
        <v>1221</v>
      </c>
      <c r="Q58" s="19" t="s">
        <v>1216</v>
      </c>
    </row>
    <row r="59" spans="1:17" ht="28" x14ac:dyDescent="0.15">
      <c r="A59" s="19" t="s">
        <v>1222</v>
      </c>
      <c r="B59" s="19" t="s">
        <v>212</v>
      </c>
      <c r="C59" s="19" t="s">
        <v>1223</v>
      </c>
      <c r="D59" s="19" t="s">
        <v>1224</v>
      </c>
      <c r="E59" s="19" t="s">
        <v>1225</v>
      </c>
      <c r="F59" s="44">
        <v>2</v>
      </c>
      <c r="G59" s="44"/>
      <c r="H59" s="55">
        <f>Engagement!$C$39</f>
        <v>3</v>
      </c>
      <c r="I59" s="56" t="str">
        <f t="shared" si="10"/>
        <v/>
      </c>
      <c r="J59" s="52" t="str">
        <f t="shared" si="11"/>
        <v/>
      </c>
      <c r="K59" s="57" t="str">
        <f>IF(ISNUMBER(I59),IF(I59&gt;=Engagement!$C$40,"Red",IF(I59&gt;=Engagement!$C$41,"Amber","Green")),"")</f>
        <v/>
      </c>
      <c r="L59" s="22"/>
      <c r="M59" s="22"/>
      <c r="N59" s="22"/>
      <c r="O59" s="22"/>
      <c r="P59" s="19" t="s">
        <v>1226</v>
      </c>
      <c r="Q59" s="19" t="s">
        <v>1227</v>
      </c>
    </row>
    <row r="60" spans="1:17" ht="28" x14ac:dyDescent="0.15">
      <c r="A60" s="19" t="s">
        <v>1228</v>
      </c>
      <c r="B60" s="19" t="s">
        <v>212</v>
      </c>
      <c r="C60" s="19" t="s">
        <v>1229</v>
      </c>
      <c r="D60" s="19" t="s">
        <v>1230</v>
      </c>
      <c r="E60" s="19" t="s">
        <v>1231</v>
      </c>
      <c r="F60" s="44">
        <v>2</v>
      </c>
      <c r="G60" s="44"/>
      <c r="H60" s="55">
        <f>Engagement!$C$39</f>
        <v>3</v>
      </c>
      <c r="I60" s="56" t="str">
        <f t="shared" si="10"/>
        <v/>
      </c>
      <c r="J60" s="52" t="str">
        <f t="shared" si="11"/>
        <v/>
      </c>
      <c r="K60" s="57" t="str">
        <f>IF(ISNUMBER(I60),IF(I60&gt;=Engagement!$C$40,"Red",IF(I60&gt;=Engagement!$C$41,"Amber","Green")),"")</f>
        <v/>
      </c>
      <c r="L60" s="22"/>
      <c r="M60" s="22"/>
      <c r="N60" s="22"/>
      <c r="O60" s="22"/>
      <c r="P60" s="19" t="s">
        <v>1232</v>
      </c>
      <c r="Q60" s="19" t="s">
        <v>1233</v>
      </c>
    </row>
    <row r="61" spans="1:17" ht="42" x14ac:dyDescent="0.15">
      <c r="A61" s="19" t="s">
        <v>1234</v>
      </c>
      <c r="B61" s="19" t="s">
        <v>212</v>
      </c>
      <c r="C61" s="19" t="s">
        <v>1235</v>
      </c>
      <c r="D61" s="19" t="s">
        <v>1236</v>
      </c>
      <c r="E61" s="19" t="s">
        <v>1237</v>
      </c>
      <c r="F61" s="44">
        <v>2</v>
      </c>
      <c r="G61" s="44"/>
      <c r="H61" s="55">
        <f>Engagement!$C$39</f>
        <v>3</v>
      </c>
      <c r="I61" s="56" t="str">
        <f t="shared" si="10"/>
        <v/>
      </c>
      <c r="J61" s="52" t="str">
        <f t="shared" si="11"/>
        <v/>
      </c>
      <c r="K61" s="57" t="str">
        <f>IF(ISNUMBER(I61),IF(I61&gt;=Engagement!$C$40,"Red",IF(I61&gt;=Engagement!$C$41,"Amber","Green")),"")</f>
        <v/>
      </c>
      <c r="L61" s="22"/>
      <c r="M61" s="22"/>
      <c r="N61" s="22"/>
      <c r="O61" s="22"/>
      <c r="P61" s="19" t="s">
        <v>1238</v>
      </c>
      <c r="Q61" s="19" t="s">
        <v>1239</v>
      </c>
    </row>
    <row r="62" spans="1:17" ht="28" x14ac:dyDescent="0.15">
      <c r="A62" s="19" t="s">
        <v>1240</v>
      </c>
      <c r="B62" s="19" t="s">
        <v>212</v>
      </c>
      <c r="C62" s="19" t="s">
        <v>1241</v>
      </c>
      <c r="D62" s="19" t="s">
        <v>1242</v>
      </c>
      <c r="E62" s="19" t="s">
        <v>1243</v>
      </c>
      <c r="F62" s="44">
        <v>2</v>
      </c>
      <c r="G62" s="44"/>
      <c r="H62" s="55">
        <f>Engagement!$C$39</f>
        <v>3</v>
      </c>
      <c r="I62" s="56" t="str">
        <f t="shared" si="10"/>
        <v/>
      </c>
      <c r="J62" s="52" t="str">
        <f t="shared" si="11"/>
        <v/>
      </c>
      <c r="K62" s="57" t="str">
        <f>IF(ISNUMBER(I62),IF(I62&gt;=Engagement!$C$40,"Red",IF(I62&gt;=Engagement!$C$41,"Amber","Green")),"")</f>
        <v/>
      </c>
      <c r="L62" s="22"/>
      <c r="M62" s="22"/>
      <c r="N62" s="22"/>
      <c r="O62" s="22"/>
      <c r="P62" s="19" t="s">
        <v>1244</v>
      </c>
      <c r="Q62" s="19" t="s">
        <v>1245</v>
      </c>
    </row>
    <row r="63" spans="1:17" ht="28" x14ac:dyDescent="0.15">
      <c r="A63" s="19" t="s">
        <v>1246</v>
      </c>
      <c r="B63" s="19" t="s">
        <v>212</v>
      </c>
      <c r="C63" s="19" t="s">
        <v>1247</v>
      </c>
      <c r="D63" s="19" t="s">
        <v>1248</v>
      </c>
      <c r="E63" s="19" t="s">
        <v>1249</v>
      </c>
      <c r="F63" s="44">
        <v>2</v>
      </c>
      <c r="G63" s="44"/>
      <c r="H63" s="55">
        <f>Engagement!$C$39</f>
        <v>3</v>
      </c>
      <c r="I63" s="56" t="str">
        <f t="shared" si="10"/>
        <v/>
      </c>
      <c r="J63" s="52" t="str">
        <f t="shared" si="11"/>
        <v/>
      </c>
      <c r="K63" s="57" t="str">
        <f>IF(ISNUMBER(I63),IF(I63&gt;=Engagement!$C$40,"Red",IF(I63&gt;=Engagement!$C$41,"Amber","Green")),"")</f>
        <v/>
      </c>
      <c r="L63" s="22"/>
      <c r="M63" s="22"/>
      <c r="N63" s="22"/>
      <c r="O63" s="22"/>
      <c r="P63" s="19" t="s">
        <v>1250</v>
      </c>
      <c r="Q63" s="19" t="s">
        <v>1251</v>
      </c>
    </row>
    <row r="64" spans="1:17" ht="28" x14ac:dyDescent="0.15">
      <c r="A64" s="19" t="s">
        <v>1252</v>
      </c>
      <c r="B64" s="19" t="s">
        <v>212</v>
      </c>
      <c r="C64" s="19" t="s">
        <v>1253</v>
      </c>
      <c r="D64" s="19" t="s">
        <v>1254</v>
      </c>
      <c r="E64" s="19" t="s">
        <v>1255</v>
      </c>
      <c r="F64" s="44">
        <v>2</v>
      </c>
      <c r="G64" s="44"/>
      <c r="H64" s="55">
        <f>Engagement!$C$39</f>
        <v>3</v>
      </c>
      <c r="I64" s="56" t="str">
        <f t="shared" si="10"/>
        <v/>
      </c>
      <c r="J64" s="52" t="str">
        <f t="shared" si="11"/>
        <v/>
      </c>
      <c r="K64" s="57" t="str">
        <f>IF(ISNUMBER(I64),IF(I64&gt;=Engagement!$C$40,"Red",IF(I64&gt;=Engagement!$C$41,"Amber","Green")),"")</f>
        <v/>
      </c>
      <c r="L64" s="22"/>
      <c r="M64" s="22"/>
      <c r="N64" s="22"/>
      <c r="O64" s="22"/>
      <c r="P64" s="19" t="s">
        <v>1256</v>
      </c>
      <c r="Q64" s="19" t="s">
        <v>1257</v>
      </c>
    </row>
    <row r="65" spans="1:17" ht="18" customHeight="1" x14ac:dyDescent="0.15">
      <c r="A65" s="16" t="s">
        <v>1258</v>
      </c>
      <c r="B65" s="53"/>
      <c r="C65" s="53"/>
      <c r="D65" s="54" t="s">
        <v>222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</row>
    <row r="66" spans="1:17" ht="42" x14ac:dyDescent="0.15">
      <c r="A66" s="19" t="s">
        <v>1259</v>
      </c>
      <c r="B66" s="19" t="s">
        <v>221</v>
      </c>
      <c r="C66" s="19" t="s">
        <v>1260</v>
      </c>
      <c r="D66" s="19" t="s">
        <v>1261</v>
      </c>
      <c r="E66" s="19" t="s">
        <v>1262</v>
      </c>
      <c r="F66" s="44">
        <v>2</v>
      </c>
      <c r="G66" s="44"/>
      <c r="H66" s="55">
        <f>Engagement!$C$39</f>
        <v>3</v>
      </c>
      <c r="I66" s="56" t="str">
        <f t="shared" ref="I66:I74" si="12">IF(AND(ISNUMBER(G66),ISNUMBER(H66)),H66-G66,"")</f>
        <v/>
      </c>
      <c r="J66" s="52" t="str">
        <f t="shared" ref="J66:J74" si="13">IF(AND(ISNUMBER(I66),ISNUMBER(F66)),MAX(0,I66)*F66,"")</f>
        <v/>
      </c>
      <c r="K66" s="57" t="str">
        <f>IF(ISNUMBER(I66),IF(I66&gt;=Engagement!$C$40,"Red",IF(I66&gt;=Engagement!$C$41,"Amber","Green")),"")</f>
        <v/>
      </c>
      <c r="L66" s="22"/>
      <c r="M66" s="22"/>
      <c r="N66" s="22"/>
      <c r="O66" s="22"/>
      <c r="P66" s="19" t="s">
        <v>1263</v>
      </c>
      <c r="Q66" s="19" t="s">
        <v>1264</v>
      </c>
    </row>
    <row r="67" spans="1:17" ht="42" x14ac:dyDescent="0.15">
      <c r="A67" s="19" t="s">
        <v>1265</v>
      </c>
      <c r="B67" s="19" t="s">
        <v>221</v>
      </c>
      <c r="C67" s="19" t="s">
        <v>1266</v>
      </c>
      <c r="D67" s="19" t="s">
        <v>1267</v>
      </c>
      <c r="E67" s="19" t="s">
        <v>1268</v>
      </c>
      <c r="F67" s="44">
        <v>2</v>
      </c>
      <c r="G67" s="44"/>
      <c r="H67" s="55">
        <f>Engagement!$C$39</f>
        <v>3</v>
      </c>
      <c r="I67" s="56" t="str">
        <f t="shared" si="12"/>
        <v/>
      </c>
      <c r="J67" s="52" t="str">
        <f t="shared" si="13"/>
        <v/>
      </c>
      <c r="K67" s="57" t="str">
        <f>IF(ISNUMBER(I67),IF(I67&gt;=Engagement!$C$40,"Red",IF(I67&gt;=Engagement!$C$41,"Amber","Green")),"")</f>
        <v/>
      </c>
      <c r="L67" s="22"/>
      <c r="M67" s="22"/>
      <c r="N67" s="22"/>
      <c r="O67" s="22"/>
      <c r="P67" s="19" t="s">
        <v>1269</v>
      </c>
      <c r="Q67" s="19" t="s">
        <v>1270</v>
      </c>
    </row>
    <row r="68" spans="1:17" ht="42" x14ac:dyDescent="0.15">
      <c r="A68" s="19" t="s">
        <v>1271</v>
      </c>
      <c r="B68" s="19" t="s">
        <v>221</v>
      </c>
      <c r="C68" s="19" t="s">
        <v>1272</v>
      </c>
      <c r="D68" s="19" t="s">
        <v>1273</v>
      </c>
      <c r="E68" s="19" t="s">
        <v>1274</v>
      </c>
      <c r="F68" s="44">
        <v>2</v>
      </c>
      <c r="G68" s="44"/>
      <c r="H68" s="55">
        <f>Engagement!$C$39</f>
        <v>3</v>
      </c>
      <c r="I68" s="56" t="str">
        <f t="shared" si="12"/>
        <v/>
      </c>
      <c r="J68" s="52" t="str">
        <f t="shared" si="13"/>
        <v/>
      </c>
      <c r="K68" s="57" t="str">
        <f>IF(ISNUMBER(I68),IF(I68&gt;=Engagement!$C$40,"Red",IF(I68&gt;=Engagement!$C$41,"Amber","Green")),"")</f>
        <v/>
      </c>
      <c r="L68" s="22"/>
      <c r="M68" s="22"/>
      <c r="N68" s="22"/>
      <c r="O68" s="22"/>
      <c r="P68" s="19" t="s">
        <v>1275</v>
      </c>
      <c r="Q68" s="19" t="s">
        <v>1276</v>
      </c>
    </row>
    <row r="69" spans="1:17" ht="42" x14ac:dyDescent="0.15">
      <c r="A69" s="19" t="s">
        <v>1277</v>
      </c>
      <c r="B69" s="19" t="s">
        <v>221</v>
      </c>
      <c r="C69" s="19" t="s">
        <v>1278</v>
      </c>
      <c r="D69" s="19" t="s">
        <v>1279</v>
      </c>
      <c r="E69" s="19" t="s">
        <v>1280</v>
      </c>
      <c r="F69" s="44">
        <v>2</v>
      </c>
      <c r="G69" s="44"/>
      <c r="H69" s="55">
        <f>Engagement!$C$39</f>
        <v>3</v>
      </c>
      <c r="I69" s="56" t="str">
        <f t="shared" si="12"/>
        <v/>
      </c>
      <c r="J69" s="52" t="str">
        <f t="shared" si="13"/>
        <v/>
      </c>
      <c r="K69" s="57" t="str">
        <f>IF(ISNUMBER(I69),IF(I69&gt;=Engagement!$C$40,"Red",IF(I69&gt;=Engagement!$C$41,"Amber","Green")),"")</f>
        <v/>
      </c>
      <c r="L69" s="22"/>
      <c r="M69" s="22"/>
      <c r="N69" s="22"/>
      <c r="O69" s="22"/>
      <c r="P69" s="19" t="s">
        <v>1281</v>
      </c>
      <c r="Q69" s="19" t="s">
        <v>1251</v>
      </c>
    </row>
    <row r="70" spans="1:17" ht="28" x14ac:dyDescent="0.15">
      <c r="A70" s="19" t="s">
        <v>1282</v>
      </c>
      <c r="B70" s="19" t="s">
        <v>221</v>
      </c>
      <c r="C70" s="19" t="s">
        <v>1283</v>
      </c>
      <c r="D70" s="19" t="s">
        <v>1284</v>
      </c>
      <c r="E70" s="19" t="s">
        <v>1285</v>
      </c>
      <c r="F70" s="44">
        <v>2</v>
      </c>
      <c r="G70" s="44"/>
      <c r="H70" s="55">
        <f>Engagement!$C$39</f>
        <v>3</v>
      </c>
      <c r="I70" s="56" t="str">
        <f t="shared" si="12"/>
        <v/>
      </c>
      <c r="J70" s="52" t="str">
        <f t="shared" si="13"/>
        <v/>
      </c>
      <c r="K70" s="57" t="str">
        <f>IF(ISNUMBER(I70),IF(I70&gt;=Engagement!$C$40,"Red",IF(I70&gt;=Engagement!$C$41,"Amber","Green")),"")</f>
        <v/>
      </c>
      <c r="L70" s="22"/>
      <c r="M70" s="22"/>
      <c r="N70" s="22"/>
      <c r="O70" s="22"/>
      <c r="P70" s="19" t="s">
        <v>1286</v>
      </c>
      <c r="Q70" s="19" t="s">
        <v>1251</v>
      </c>
    </row>
    <row r="71" spans="1:17" ht="28" x14ac:dyDescent="0.15">
      <c r="A71" s="19" t="s">
        <v>1287</v>
      </c>
      <c r="B71" s="19" t="s">
        <v>221</v>
      </c>
      <c r="C71" s="19" t="s">
        <v>1288</v>
      </c>
      <c r="D71" s="19" t="s">
        <v>1289</v>
      </c>
      <c r="E71" s="19" t="s">
        <v>1290</v>
      </c>
      <c r="F71" s="44">
        <v>2</v>
      </c>
      <c r="G71" s="44"/>
      <c r="H71" s="55">
        <f>Engagement!$C$39</f>
        <v>3</v>
      </c>
      <c r="I71" s="56" t="str">
        <f t="shared" si="12"/>
        <v/>
      </c>
      <c r="J71" s="52" t="str">
        <f t="shared" si="13"/>
        <v/>
      </c>
      <c r="K71" s="57" t="str">
        <f>IF(ISNUMBER(I71),IF(I71&gt;=Engagement!$C$40,"Red",IF(I71&gt;=Engagement!$C$41,"Amber","Green")),"")</f>
        <v/>
      </c>
      <c r="L71" s="22"/>
      <c r="M71" s="22"/>
      <c r="N71" s="22"/>
      <c r="O71" s="22"/>
      <c r="P71" s="19" t="s">
        <v>1291</v>
      </c>
      <c r="Q71" s="19" t="s">
        <v>1292</v>
      </c>
    </row>
    <row r="72" spans="1:17" ht="28" x14ac:dyDescent="0.15">
      <c r="A72" s="19" t="s">
        <v>1293</v>
      </c>
      <c r="B72" s="19" t="s">
        <v>221</v>
      </c>
      <c r="C72" s="19" t="s">
        <v>1294</v>
      </c>
      <c r="D72" s="19" t="s">
        <v>1295</v>
      </c>
      <c r="E72" s="19" t="s">
        <v>1296</v>
      </c>
      <c r="F72" s="44">
        <v>2</v>
      </c>
      <c r="G72" s="44"/>
      <c r="H72" s="55">
        <f>Engagement!$C$39</f>
        <v>3</v>
      </c>
      <c r="I72" s="56" t="str">
        <f t="shared" si="12"/>
        <v/>
      </c>
      <c r="J72" s="52" t="str">
        <f t="shared" si="13"/>
        <v/>
      </c>
      <c r="K72" s="57" t="str">
        <f>IF(ISNUMBER(I72),IF(I72&gt;=Engagement!$C$40,"Red",IF(I72&gt;=Engagement!$C$41,"Amber","Green")),"")</f>
        <v/>
      </c>
      <c r="L72" s="22"/>
      <c r="M72" s="22"/>
      <c r="N72" s="22"/>
      <c r="O72" s="22"/>
      <c r="P72" s="19" t="s">
        <v>1297</v>
      </c>
      <c r="Q72" s="19" t="s">
        <v>1298</v>
      </c>
    </row>
    <row r="73" spans="1:17" ht="42" x14ac:dyDescent="0.15">
      <c r="A73" s="19" t="s">
        <v>1299</v>
      </c>
      <c r="B73" s="19" t="s">
        <v>221</v>
      </c>
      <c r="C73" s="19" t="s">
        <v>1300</v>
      </c>
      <c r="D73" s="19" t="s">
        <v>1301</v>
      </c>
      <c r="E73" s="19" t="s">
        <v>1302</v>
      </c>
      <c r="F73" s="44">
        <v>2</v>
      </c>
      <c r="G73" s="44"/>
      <c r="H73" s="55">
        <f>Engagement!$C$39</f>
        <v>3</v>
      </c>
      <c r="I73" s="56" t="str">
        <f t="shared" si="12"/>
        <v/>
      </c>
      <c r="J73" s="52" t="str">
        <f t="shared" si="13"/>
        <v/>
      </c>
      <c r="K73" s="57" t="str">
        <f>IF(ISNUMBER(I73),IF(I73&gt;=Engagement!$C$40,"Red",IF(I73&gt;=Engagement!$C$41,"Amber","Green")),"")</f>
        <v/>
      </c>
      <c r="L73" s="22"/>
      <c r="M73" s="22"/>
      <c r="N73" s="22"/>
      <c r="O73" s="22"/>
      <c r="P73" s="19" t="s">
        <v>1303</v>
      </c>
      <c r="Q73" s="19" t="s">
        <v>1304</v>
      </c>
    </row>
    <row r="74" spans="1:17" ht="28" x14ac:dyDescent="0.15">
      <c r="A74" s="19" t="s">
        <v>1305</v>
      </c>
      <c r="B74" s="19" t="s">
        <v>221</v>
      </c>
      <c r="C74" s="19" t="s">
        <v>1306</v>
      </c>
      <c r="D74" s="19" t="s">
        <v>1307</v>
      </c>
      <c r="E74" s="19" t="s">
        <v>1308</v>
      </c>
      <c r="F74" s="44">
        <v>2</v>
      </c>
      <c r="G74" s="44"/>
      <c r="H74" s="55">
        <f>Engagement!$C$39</f>
        <v>3</v>
      </c>
      <c r="I74" s="56" t="str">
        <f t="shared" si="12"/>
        <v/>
      </c>
      <c r="J74" s="52" t="str">
        <f t="shared" si="13"/>
        <v/>
      </c>
      <c r="K74" s="57" t="str">
        <f>IF(ISNUMBER(I74),IF(I74&gt;=Engagement!$C$40,"Red",IF(I74&gt;=Engagement!$C$41,"Amber","Green")),"")</f>
        <v/>
      </c>
      <c r="L74" s="22"/>
      <c r="M74" s="22"/>
      <c r="N74" s="22"/>
      <c r="O74" s="22"/>
      <c r="P74" s="19" t="s">
        <v>1309</v>
      </c>
      <c r="Q74" s="19" t="s">
        <v>1310</v>
      </c>
    </row>
    <row r="75" spans="1:17" ht="18" customHeight="1" x14ac:dyDescent="0.15">
      <c r="A75" s="16" t="s">
        <v>1311</v>
      </c>
      <c r="B75" s="53"/>
      <c r="C75" s="53"/>
      <c r="D75" s="54" t="s">
        <v>232</v>
      </c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</row>
    <row r="76" spans="1:17" ht="28" x14ac:dyDescent="0.15">
      <c r="A76" s="19" t="s">
        <v>1312</v>
      </c>
      <c r="B76" s="19" t="s">
        <v>231</v>
      </c>
      <c r="C76" s="19" t="s">
        <v>1313</v>
      </c>
      <c r="D76" s="19" t="s">
        <v>1314</v>
      </c>
      <c r="E76" s="19" t="s">
        <v>1315</v>
      </c>
      <c r="F76" s="44">
        <v>2</v>
      </c>
      <c r="G76" s="44"/>
      <c r="H76" s="55">
        <f>Engagement!$C$39</f>
        <v>3</v>
      </c>
      <c r="I76" s="56" t="str">
        <f t="shared" ref="I76:I85" si="14">IF(AND(ISNUMBER(G76),ISNUMBER(H76)),H76-G76,"")</f>
        <v/>
      </c>
      <c r="J76" s="52" t="str">
        <f t="shared" ref="J76:J85" si="15">IF(AND(ISNUMBER(I76),ISNUMBER(F76)),MAX(0,I76)*F76,"")</f>
        <v/>
      </c>
      <c r="K76" s="57" t="str">
        <f>IF(ISNUMBER(I76),IF(I76&gt;=Engagement!$C$40,"Red",IF(I76&gt;=Engagement!$C$41,"Amber","Green")),"")</f>
        <v/>
      </c>
      <c r="L76" s="22"/>
      <c r="M76" s="22"/>
      <c r="N76" s="22"/>
      <c r="O76" s="22"/>
      <c r="P76" s="19" t="s">
        <v>1316</v>
      </c>
      <c r="Q76" s="19" t="s">
        <v>1317</v>
      </c>
    </row>
    <row r="77" spans="1:17" ht="28" x14ac:dyDescent="0.15">
      <c r="A77" s="19" t="s">
        <v>1318</v>
      </c>
      <c r="B77" s="19" t="s">
        <v>231</v>
      </c>
      <c r="C77" s="19" t="s">
        <v>1319</v>
      </c>
      <c r="D77" s="19" t="s">
        <v>1320</v>
      </c>
      <c r="E77" s="19" t="s">
        <v>1321</v>
      </c>
      <c r="F77" s="44">
        <v>2</v>
      </c>
      <c r="G77" s="44"/>
      <c r="H77" s="55">
        <f>Engagement!$C$39</f>
        <v>3</v>
      </c>
      <c r="I77" s="56" t="str">
        <f t="shared" si="14"/>
        <v/>
      </c>
      <c r="J77" s="52" t="str">
        <f t="shared" si="15"/>
        <v/>
      </c>
      <c r="K77" s="57" t="str">
        <f>IF(ISNUMBER(I77),IF(I77&gt;=Engagement!$C$40,"Red",IF(I77&gt;=Engagement!$C$41,"Amber","Green")),"")</f>
        <v/>
      </c>
      <c r="L77" s="22"/>
      <c r="M77" s="22"/>
      <c r="N77" s="22"/>
      <c r="O77" s="22"/>
      <c r="P77" s="19" t="s">
        <v>1322</v>
      </c>
      <c r="Q77" s="19" t="s">
        <v>1323</v>
      </c>
    </row>
    <row r="78" spans="1:17" ht="28" x14ac:dyDescent="0.15">
      <c r="A78" s="19" t="s">
        <v>1324</v>
      </c>
      <c r="B78" s="19" t="s">
        <v>231</v>
      </c>
      <c r="C78" s="19" t="s">
        <v>1325</v>
      </c>
      <c r="D78" s="19" t="s">
        <v>1326</v>
      </c>
      <c r="E78" s="19" t="s">
        <v>1327</v>
      </c>
      <c r="F78" s="44">
        <v>2</v>
      </c>
      <c r="G78" s="44"/>
      <c r="H78" s="55">
        <f>Engagement!$C$39</f>
        <v>3</v>
      </c>
      <c r="I78" s="56" t="str">
        <f t="shared" si="14"/>
        <v/>
      </c>
      <c r="J78" s="52" t="str">
        <f t="shared" si="15"/>
        <v/>
      </c>
      <c r="K78" s="57" t="str">
        <f>IF(ISNUMBER(I78),IF(I78&gt;=Engagement!$C$40,"Red",IF(I78&gt;=Engagement!$C$41,"Amber","Green")),"")</f>
        <v/>
      </c>
      <c r="L78" s="22"/>
      <c r="M78" s="22"/>
      <c r="N78" s="22"/>
      <c r="O78" s="22"/>
      <c r="P78" s="19" t="s">
        <v>1328</v>
      </c>
      <c r="Q78" s="19" t="s">
        <v>1329</v>
      </c>
    </row>
    <row r="79" spans="1:17" ht="42" x14ac:dyDescent="0.15">
      <c r="A79" s="19" t="s">
        <v>1330</v>
      </c>
      <c r="B79" s="19" t="s">
        <v>231</v>
      </c>
      <c r="C79" s="19" t="s">
        <v>1331</v>
      </c>
      <c r="D79" s="19" t="s">
        <v>1332</v>
      </c>
      <c r="E79" s="19" t="s">
        <v>1333</v>
      </c>
      <c r="F79" s="44">
        <v>2</v>
      </c>
      <c r="G79" s="44"/>
      <c r="H79" s="55">
        <f>Engagement!$C$39</f>
        <v>3</v>
      </c>
      <c r="I79" s="56" t="str">
        <f t="shared" si="14"/>
        <v/>
      </c>
      <c r="J79" s="52" t="str">
        <f t="shared" si="15"/>
        <v/>
      </c>
      <c r="K79" s="57" t="str">
        <f>IF(ISNUMBER(I79),IF(I79&gt;=Engagement!$C$40,"Red",IF(I79&gt;=Engagement!$C$41,"Amber","Green")),"")</f>
        <v/>
      </c>
      <c r="L79" s="22"/>
      <c r="M79" s="22"/>
      <c r="N79" s="22"/>
      <c r="O79" s="22"/>
      <c r="P79" s="19" t="s">
        <v>1334</v>
      </c>
      <c r="Q79" s="19" t="s">
        <v>1335</v>
      </c>
    </row>
    <row r="80" spans="1:17" ht="28" x14ac:dyDescent="0.15">
      <c r="A80" s="19" t="s">
        <v>1336</v>
      </c>
      <c r="B80" s="19" t="s">
        <v>231</v>
      </c>
      <c r="C80" s="19" t="s">
        <v>1337</v>
      </c>
      <c r="D80" s="19" t="s">
        <v>1338</v>
      </c>
      <c r="E80" s="19" t="s">
        <v>1339</v>
      </c>
      <c r="F80" s="44">
        <v>2</v>
      </c>
      <c r="G80" s="44"/>
      <c r="H80" s="55">
        <f>Engagement!$C$39</f>
        <v>3</v>
      </c>
      <c r="I80" s="56" t="str">
        <f t="shared" si="14"/>
        <v/>
      </c>
      <c r="J80" s="52" t="str">
        <f t="shared" si="15"/>
        <v/>
      </c>
      <c r="K80" s="57" t="str">
        <f>IF(ISNUMBER(I80),IF(I80&gt;=Engagement!$C$40,"Red",IF(I80&gt;=Engagement!$C$41,"Amber","Green")),"")</f>
        <v/>
      </c>
      <c r="L80" s="22"/>
      <c r="M80" s="22"/>
      <c r="N80" s="22"/>
      <c r="O80" s="22"/>
      <c r="P80" s="19" t="s">
        <v>1340</v>
      </c>
      <c r="Q80" s="19" t="s">
        <v>1317</v>
      </c>
    </row>
    <row r="81" spans="1:17" ht="28" x14ac:dyDescent="0.15">
      <c r="A81" s="19" t="s">
        <v>1341</v>
      </c>
      <c r="B81" s="19" t="s">
        <v>231</v>
      </c>
      <c r="C81" s="19" t="s">
        <v>1342</v>
      </c>
      <c r="D81" s="19" t="s">
        <v>1343</v>
      </c>
      <c r="E81" s="19" t="s">
        <v>1344</v>
      </c>
      <c r="F81" s="44">
        <v>2</v>
      </c>
      <c r="G81" s="44"/>
      <c r="H81" s="55">
        <f>Engagement!$C$39</f>
        <v>3</v>
      </c>
      <c r="I81" s="56" t="str">
        <f t="shared" si="14"/>
        <v/>
      </c>
      <c r="J81" s="52" t="str">
        <f t="shared" si="15"/>
        <v/>
      </c>
      <c r="K81" s="57" t="str">
        <f>IF(ISNUMBER(I81),IF(I81&gt;=Engagement!$C$40,"Red",IF(I81&gt;=Engagement!$C$41,"Amber","Green")),"")</f>
        <v/>
      </c>
      <c r="L81" s="22"/>
      <c r="M81" s="22"/>
      <c r="N81" s="22"/>
      <c r="O81" s="22"/>
      <c r="P81" s="19" t="s">
        <v>1345</v>
      </c>
      <c r="Q81" s="19" t="s">
        <v>1346</v>
      </c>
    </row>
    <row r="82" spans="1:17" ht="42" x14ac:dyDescent="0.15">
      <c r="A82" s="19" t="s">
        <v>1347</v>
      </c>
      <c r="B82" s="19" t="s">
        <v>231</v>
      </c>
      <c r="C82" s="19" t="s">
        <v>1348</v>
      </c>
      <c r="D82" s="19" t="s">
        <v>1349</v>
      </c>
      <c r="E82" s="19" t="s">
        <v>1350</v>
      </c>
      <c r="F82" s="44">
        <v>2</v>
      </c>
      <c r="G82" s="44"/>
      <c r="H82" s="55">
        <f>Engagement!$C$39</f>
        <v>3</v>
      </c>
      <c r="I82" s="56" t="str">
        <f t="shared" si="14"/>
        <v/>
      </c>
      <c r="J82" s="52" t="str">
        <f t="shared" si="15"/>
        <v/>
      </c>
      <c r="K82" s="57" t="str">
        <f>IF(ISNUMBER(I82),IF(I82&gt;=Engagement!$C$40,"Red",IF(I82&gt;=Engagement!$C$41,"Amber","Green")),"")</f>
        <v/>
      </c>
      <c r="L82" s="22"/>
      <c r="M82" s="22"/>
      <c r="N82" s="22"/>
      <c r="O82" s="22"/>
      <c r="P82" s="19" t="s">
        <v>1351</v>
      </c>
      <c r="Q82" s="19" t="s">
        <v>1352</v>
      </c>
    </row>
    <row r="83" spans="1:17" ht="28" x14ac:dyDescent="0.15">
      <c r="A83" s="19" t="s">
        <v>1353</v>
      </c>
      <c r="B83" s="19" t="s">
        <v>231</v>
      </c>
      <c r="C83" s="19" t="s">
        <v>1354</v>
      </c>
      <c r="D83" s="19" t="s">
        <v>1355</v>
      </c>
      <c r="E83" s="19" t="s">
        <v>1356</v>
      </c>
      <c r="F83" s="44">
        <v>2</v>
      </c>
      <c r="G83" s="44"/>
      <c r="H83" s="55">
        <f>Engagement!$C$39</f>
        <v>3</v>
      </c>
      <c r="I83" s="56" t="str">
        <f t="shared" si="14"/>
        <v/>
      </c>
      <c r="J83" s="52" t="str">
        <f t="shared" si="15"/>
        <v/>
      </c>
      <c r="K83" s="57" t="str">
        <f>IF(ISNUMBER(I83),IF(I83&gt;=Engagement!$C$40,"Red",IF(I83&gt;=Engagement!$C$41,"Amber","Green")),"")</f>
        <v/>
      </c>
      <c r="L83" s="22"/>
      <c r="M83" s="22"/>
      <c r="N83" s="22"/>
      <c r="O83" s="22"/>
      <c r="P83" s="19" t="s">
        <v>1357</v>
      </c>
      <c r="Q83" s="19" t="s">
        <v>1358</v>
      </c>
    </row>
    <row r="84" spans="1:17" ht="42" x14ac:dyDescent="0.15">
      <c r="A84" s="19" t="s">
        <v>1359</v>
      </c>
      <c r="B84" s="19" t="s">
        <v>231</v>
      </c>
      <c r="C84" s="19" t="s">
        <v>1360</v>
      </c>
      <c r="D84" s="19" t="s">
        <v>1361</v>
      </c>
      <c r="E84" s="19" t="s">
        <v>1362</v>
      </c>
      <c r="F84" s="44">
        <v>2</v>
      </c>
      <c r="G84" s="44"/>
      <c r="H84" s="55">
        <f>Engagement!$C$39</f>
        <v>3</v>
      </c>
      <c r="I84" s="56" t="str">
        <f t="shared" si="14"/>
        <v/>
      </c>
      <c r="J84" s="52" t="str">
        <f t="shared" si="15"/>
        <v/>
      </c>
      <c r="K84" s="57" t="str">
        <f>IF(ISNUMBER(I84),IF(I84&gt;=Engagement!$C$40,"Red",IF(I84&gt;=Engagement!$C$41,"Amber","Green")),"")</f>
        <v/>
      </c>
      <c r="L84" s="22"/>
      <c r="M84" s="22"/>
      <c r="N84" s="22"/>
      <c r="O84" s="22"/>
      <c r="P84" s="19" t="s">
        <v>1363</v>
      </c>
      <c r="Q84" s="19" t="s">
        <v>1364</v>
      </c>
    </row>
    <row r="85" spans="1:17" ht="28" x14ac:dyDescent="0.15">
      <c r="A85" s="19" t="s">
        <v>1365</v>
      </c>
      <c r="B85" s="19" t="s">
        <v>231</v>
      </c>
      <c r="C85" s="19" t="s">
        <v>1366</v>
      </c>
      <c r="D85" s="19" t="s">
        <v>1367</v>
      </c>
      <c r="E85" s="19" t="s">
        <v>1368</v>
      </c>
      <c r="F85" s="44">
        <v>2</v>
      </c>
      <c r="G85" s="44"/>
      <c r="H85" s="55">
        <f>Engagement!$C$39</f>
        <v>3</v>
      </c>
      <c r="I85" s="56" t="str">
        <f t="shared" si="14"/>
        <v/>
      </c>
      <c r="J85" s="52" t="str">
        <f t="shared" si="15"/>
        <v/>
      </c>
      <c r="K85" s="57" t="str">
        <f>IF(ISNUMBER(I85),IF(I85&gt;=Engagement!$C$40,"Red",IF(I85&gt;=Engagement!$C$41,"Amber","Green")),"")</f>
        <v/>
      </c>
      <c r="L85" s="22"/>
      <c r="M85" s="22"/>
      <c r="N85" s="22"/>
      <c r="O85" s="22"/>
      <c r="P85" s="19" t="s">
        <v>1369</v>
      </c>
      <c r="Q85" s="19" t="s">
        <v>1352</v>
      </c>
    </row>
    <row r="86" spans="1:17" ht="18" customHeight="1" x14ac:dyDescent="0.15">
      <c r="A86" s="16" t="s">
        <v>1370</v>
      </c>
      <c r="B86" s="53"/>
      <c r="C86" s="53"/>
      <c r="D86" s="54" t="s">
        <v>241</v>
      </c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</row>
    <row r="87" spans="1:17" ht="28" x14ac:dyDescent="0.15">
      <c r="A87" s="19" t="s">
        <v>1371</v>
      </c>
      <c r="B87" s="19" t="s">
        <v>240</v>
      </c>
      <c r="C87" s="19" t="s">
        <v>1372</v>
      </c>
      <c r="D87" s="19" t="s">
        <v>1373</v>
      </c>
      <c r="E87" s="19" t="s">
        <v>1374</v>
      </c>
      <c r="F87" s="44">
        <v>2</v>
      </c>
      <c r="G87" s="44"/>
      <c r="H87" s="55">
        <f>Engagement!$C$39</f>
        <v>3</v>
      </c>
      <c r="I87" s="56" t="str">
        <f t="shared" ref="I87:I95" si="16">IF(AND(ISNUMBER(G87),ISNUMBER(H87)),H87-G87,"")</f>
        <v/>
      </c>
      <c r="J87" s="52" t="str">
        <f t="shared" ref="J87:J95" si="17">IF(AND(ISNUMBER(I87),ISNUMBER(F87)),MAX(0,I87)*F87,"")</f>
        <v/>
      </c>
      <c r="K87" s="57" t="str">
        <f>IF(ISNUMBER(I87),IF(I87&gt;=Engagement!$C$40,"Red",IF(I87&gt;=Engagement!$C$41,"Amber","Green")),"")</f>
        <v/>
      </c>
      <c r="L87" s="22"/>
      <c r="M87" s="22"/>
      <c r="N87" s="22"/>
      <c r="O87" s="22"/>
      <c r="P87" s="19" t="s">
        <v>1375</v>
      </c>
      <c r="Q87" s="19" t="s">
        <v>1376</v>
      </c>
    </row>
    <row r="88" spans="1:17" ht="28" x14ac:dyDescent="0.15">
      <c r="A88" s="19" t="s">
        <v>1377</v>
      </c>
      <c r="B88" s="19" t="s">
        <v>240</v>
      </c>
      <c r="C88" s="19" t="s">
        <v>1378</v>
      </c>
      <c r="D88" s="19" t="s">
        <v>1379</v>
      </c>
      <c r="E88" s="19" t="s">
        <v>1380</v>
      </c>
      <c r="F88" s="44">
        <v>2</v>
      </c>
      <c r="G88" s="44"/>
      <c r="H88" s="55">
        <f>Engagement!$C$39</f>
        <v>3</v>
      </c>
      <c r="I88" s="56" t="str">
        <f t="shared" si="16"/>
        <v/>
      </c>
      <c r="J88" s="52" t="str">
        <f t="shared" si="17"/>
        <v/>
      </c>
      <c r="K88" s="57" t="str">
        <f>IF(ISNUMBER(I88),IF(I88&gt;=Engagement!$C$40,"Red",IF(I88&gt;=Engagement!$C$41,"Amber","Green")),"")</f>
        <v/>
      </c>
      <c r="L88" s="22"/>
      <c r="M88" s="22"/>
      <c r="N88" s="22"/>
      <c r="O88" s="22"/>
      <c r="P88" s="19" t="s">
        <v>1381</v>
      </c>
      <c r="Q88" s="19" t="s">
        <v>1317</v>
      </c>
    </row>
    <row r="89" spans="1:17" ht="42" x14ac:dyDescent="0.15">
      <c r="A89" s="19" t="s">
        <v>1382</v>
      </c>
      <c r="B89" s="19" t="s">
        <v>240</v>
      </c>
      <c r="C89" s="19" t="s">
        <v>1383</v>
      </c>
      <c r="D89" s="19" t="s">
        <v>1384</v>
      </c>
      <c r="E89" s="19" t="s">
        <v>1385</v>
      </c>
      <c r="F89" s="44">
        <v>2</v>
      </c>
      <c r="G89" s="44"/>
      <c r="H89" s="55">
        <f>Engagement!$C$39</f>
        <v>3</v>
      </c>
      <c r="I89" s="56" t="str">
        <f t="shared" si="16"/>
        <v/>
      </c>
      <c r="J89" s="52" t="str">
        <f t="shared" si="17"/>
        <v/>
      </c>
      <c r="K89" s="57" t="str">
        <f>IF(ISNUMBER(I89),IF(I89&gt;=Engagement!$C$40,"Red",IF(I89&gt;=Engagement!$C$41,"Amber","Green")),"")</f>
        <v/>
      </c>
      <c r="L89" s="22"/>
      <c r="M89" s="22"/>
      <c r="N89" s="22"/>
      <c r="O89" s="22"/>
      <c r="P89" s="19" t="s">
        <v>1386</v>
      </c>
      <c r="Q89" s="19" t="s">
        <v>1387</v>
      </c>
    </row>
    <row r="90" spans="1:17" ht="28" x14ac:dyDescent="0.15">
      <c r="A90" s="19" t="s">
        <v>1388</v>
      </c>
      <c r="B90" s="19" t="s">
        <v>240</v>
      </c>
      <c r="C90" s="19" t="s">
        <v>1389</v>
      </c>
      <c r="D90" s="19" t="s">
        <v>1390</v>
      </c>
      <c r="E90" s="19" t="s">
        <v>1391</v>
      </c>
      <c r="F90" s="44">
        <v>2</v>
      </c>
      <c r="G90" s="44"/>
      <c r="H90" s="55">
        <f>Engagement!$C$39</f>
        <v>3</v>
      </c>
      <c r="I90" s="56" t="str">
        <f t="shared" si="16"/>
        <v/>
      </c>
      <c r="J90" s="52" t="str">
        <f t="shared" si="17"/>
        <v/>
      </c>
      <c r="K90" s="57" t="str">
        <f>IF(ISNUMBER(I90),IF(I90&gt;=Engagement!$C$40,"Red",IF(I90&gt;=Engagement!$C$41,"Amber","Green")),"")</f>
        <v/>
      </c>
      <c r="L90" s="22"/>
      <c r="M90" s="22"/>
      <c r="N90" s="22"/>
      <c r="O90" s="22"/>
      <c r="P90" s="19" t="s">
        <v>1392</v>
      </c>
      <c r="Q90" s="19" t="s">
        <v>1393</v>
      </c>
    </row>
    <row r="91" spans="1:17" ht="42" x14ac:dyDescent="0.15">
      <c r="A91" s="19" t="s">
        <v>1394</v>
      </c>
      <c r="B91" s="19" t="s">
        <v>240</v>
      </c>
      <c r="C91" s="19" t="s">
        <v>1395</v>
      </c>
      <c r="D91" s="19" t="s">
        <v>1396</v>
      </c>
      <c r="E91" s="19" t="s">
        <v>1397</v>
      </c>
      <c r="F91" s="44">
        <v>2</v>
      </c>
      <c r="G91" s="44"/>
      <c r="H91" s="55">
        <f>Engagement!$C$39</f>
        <v>3</v>
      </c>
      <c r="I91" s="56" t="str">
        <f t="shared" si="16"/>
        <v/>
      </c>
      <c r="J91" s="52" t="str">
        <f t="shared" si="17"/>
        <v/>
      </c>
      <c r="K91" s="57" t="str">
        <f>IF(ISNUMBER(I91),IF(I91&gt;=Engagement!$C$40,"Red",IF(I91&gt;=Engagement!$C$41,"Amber","Green")),"")</f>
        <v/>
      </c>
      <c r="L91" s="22"/>
      <c r="M91" s="22"/>
      <c r="N91" s="22"/>
      <c r="O91" s="22"/>
      <c r="P91" s="19" t="s">
        <v>1398</v>
      </c>
      <c r="Q91" s="19" t="s">
        <v>1393</v>
      </c>
    </row>
    <row r="92" spans="1:17" ht="28" x14ac:dyDescent="0.15">
      <c r="A92" s="19" t="s">
        <v>1399</v>
      </c>
      <c r="B92" s="19" t="s">
        <v>240</v>
      </c>
      <c r="C92" s="19" t="s">
        <v>1400</v>
      </c>
      <c r="D92" s="19" t="s">
        <v>1401</v>
      </c>
      <c r="E92" s="19" t="s">
        <v>1402</v>
      </c>
      <c r="F92" s="44">
        <v>2</v>
      </c>
      <c r="G92" s="44"/>
      <c r="H92" s="55">
        <f>Engagement!$C$39</f>
        <v>3</v>
      </c>
      <c r="I92" s="56" t="str">
        <f t="shared" si="16"/>
        <v/>
      </c>
      <c r="J92" s="52" t="str">
        <f t="shared" si="17"/>
        <v/>
      </c>
      <c r="K92" s="57" t="str">
        <f>IF(ISNUMBER(I92),IF(I92&gt;=Engagement!$C$40,"Red",IF(I92&gt;=Engagement!$C$41,"Amber","Green")),"")</f>
        <v/>
      </c>
      <c r="L92" s="22"/>
      <c r="M92" s="22"/>
      <c r="N92" s="22"/>
      <c r="O92" s="22"/>
      <c r="P92" s="19" t="s">
        <v>1403</v>
      </c>
      <c r="Q92" s="19" t="s">
        <v>1404</v>
      </c>
    </row>
    <row r="93" spans="1:17" ht="28" x14ac:dyDescent="0.15">
      <c r="A93" s="19" t="s">
        <v>1405</v>
      </c>
      <c r="B93" s="19" t="s">
        <v>240</v>
      </c>
      <c r="C93" s="19" t="s">
        <v>1406</v>
      </c>
      <c r="D93" s="19" t="s">
        <v>1407</v>
      </c>
      <c r="E93" s="19" t="s">
        <v>1408</v>
      </c>
      <c r="F93" s="44">
        <v>2</v>
      </c>
      <c r="G93" s="44"/>
      <c r="H93" s="55">
        <f>Engagement!$C$39</f>
        <v>3</v>
      </c>
      <c r="I93" s="56" t="str">
        <f t="shared" si="16"/>
        <v/>
      </c>
      <c r="J93" s="52" t="str">
        <f t="shared" si="17"/>
        <v/>
      </c>
      <c r="K93" s="57" t="str">
        <f>IF(ISNUMBER(I93),IF(I93&gt;=Engagement!$C$40,"Red",IF(I93&gt;=Engagement!$C$41,"Amber","Green")),"")</f>
        <v/>
      </c>
      <c r="L93" s="22"/>
      <c r="M93" s="22"/>
      <c r="N93" s="22"/>
      <c r="O93" s="22"/>
      <c r="P93" s="19" t="s">
        <v>1409</v>
      </c>
      <c r="Q93" s="19" t="s">
        <v>1410</v>
      </c>
    </row>
    <row r="94" spans="1:17" ht="28" x14ac:dyDescent="0.15">
      <c r="A94" s="19" t="s">
        <v>1411</v>
      </c>
      <c r="B94" s="19" t="s">
        <v>240</v>
      </c>
      <c r="C94" s="19" t="s">
        <v>1412</v>
      </c>
      <c r="D94" s="19" t="s">
        <v>1413</v>
      </c>
      <c r="E94" s="19" t="s">
        <v>1414</v>
      </c>
      <c r="F94" s="44">
        <v>2</v>
      </c>
      <c r="G94" s="44"/>
      <c r="H94" s="55">
        <f>Engagement!$C$39</f>
        <v>3</v>
      </c>
      <c r="I94" s="56" t="str">
        <f t="shared" si="16"/>
        <v/>
      </c>
      <c r="J94" s="52" t="str">
        <f t="shared" si="17"/>
        <v/>
      </c>
      <c r="K94" s="57" t="str">
        <f>IF(ISNUMBER(I94),IF(I94&gt;=Engagement!$C$40,"Red",IF(I94&gt;=Engagement!$C$41,"Amber","Green")),"")</f>
        <v/>
      </c>
      <c r="L94" s="22"/>
      <c r="M94" s="22"/>
      <c r="N94" s="22"/>
      <c r="O94" s="22"/>
      <c r="P94" s="19" t="s">
        <v>1415</v>
      </c>
      <c r="Q94" s="19" t="s">
        <v>1416</v>
      </c>
    </row>
    <row r="95" spans="1:17" ht="28" x14ac:dyDescent="0.15">
      <c r="A95" s="19" t="s">
        <v>1417</v>
      </c>
      <c r="B95" s="19" t="s">
        <v>240</v>
      </c>
      <c r="C95" s="19" t="s">
        <v>1418</v>
      </c>
      <c r="D95" s="19" t="s">
        <v>1419</v>
      </c>
      <c r="E95" s="19" t="s">
        <v>1420</v>
      </c>
      <c r="F95" s="44">
        <v>2</v>
      </c>
      <c r="G95" s="44"/>
      <c r="H95" s="55">
        <f>Engagement!$C$39</f>
        <v>3</v>
      </c>
      <c r="I95" s="56" t="str">
        <f t="shared" si="16"/>
        <v/>
      </c>
      <c r="J95" s="52" t="str">
        <f t="shared" si="17"/>
        <v/>
      </c>
      <c r="K95" s="57" t="str">
        <f>IF(ISNUMBER(I95),IF(I95&gt;=Engagement!$C$40,"Red",IF(I95&gt;=Engagement!$C$41,"Amber","Green")),"")</f>
        <v/>
      </c>
      <c r="L95" s="22"/>
      <c r="M95" s="22"/>
      <c r="N95" s="22"/>
      <c r="O95" s="22"/>
      <c r="P95" s="19" t="s">
        <v>1421</v>
      </c>
      <c r="Q95" s="19" t="s">
        <v>1422</v>
      </c>
    </row>
    <row r="96" spans="1:17" ht="18" customHeight="1" x14ac:dyDescent="0.15">
      <c r="A96" s="16" t="s">
        <v>1423</v>
      </c>
      <c r="B96" s="53"/>
      <c r="C96" s="53"/>
      <c r="D96" s="54" t="s">
        <v>250</v>
      </c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</row>
    <row r="97" spans="1:17" ht="42" x14ac:dyDescent="0.15">
      <c r="A97" s="19" t="s">
        <v>1424</v>
      </c>
      <c r="B97" s="19" t="s">
        <v>249</v>
      </c>
      <c r="C97" s="19" t="s">
        <v>1425</v>
      </c>
      <c r="D97" s="19" t="s">
        <v>1426</v>
      </c>
      <c r="E97" s="19" t="s">
        <v>1427</v>
      </c>
      <c r="F97" s="44">
        <v>2</v>
      </c>
      <c r="G97" s="44"/>
      <c r="H97" s="55">
        <f>Engagement!$C$39</f>
        <v>3</v>
      </c>
      <c r="I97" s="56" t="str">
        <f t="shared" ref="I97:I105" si="18">IF(AND(ISNUMBER(G97),ISNUMBER(H97)),H97-G97,"")</f>
        <v/>
      </c>
      <c r="J97" s="52" t="str">
        <f t="shared" ref="J97:J105" si="19">IF(AND(ISNUMBER(I97),ISNUMBER(F97)),MAX(0,I97)*F97,"")</f>
        <v/>
      </c>
      <c r="K97" s="57" t="str">
        <f>IF(ISNUMBER(I97),IF(I97&gt;=Engagement!$C$40,"Red",IF(I97&gt;=Engagement!$C$41,"Amber","Green")),"")</f>
        <v/>
      </c>
      <c r="L97" s="22"/>
      <c r="M97" s="22"/>
      <c r="N97" s="22"/>
      <c r="O97" s="22"/>
      <c r="P97" s="19" t="s">
        <v>1428</v>
      </c>
      <c r="Q97" s="19" t="s">
        <v>1429</v>
      </c>
    </row>
    <row r="98" spans="1:17" ht="42" x14ac:dyDescent="0.15">
      <c r="A98" s="19" t="s">
        <v>1430</v>
      </c>
      <c r="B98" s="19" t="s">
        <v>249</v>
      </c>
      <c r="C98" s="19" t="s">
        <v>1431</v>
      </c>
      <c r="D98" s="19" t="s">
        <v>1432</v>
      </c>
      <c r="E98" s="19" t="s">
        <v>1433</v>
      </c>
      <c r="F98" s="44">
        <v>2</v>
      </c>
      <c r="G98" s="44"/>
      <c r="H98" s="55">
        <f>Engagement!$C$39</f>
        <v>3</v>
      </c>
      <c r="I98" s="56" t="str">
        <f t="shared" si="18"/>
        <v/>
      </c>
      <c r="J98" s="52" t="str">
        <f t="shared" si="19"/>
        <v/>
      </c>
      <c r="K98" s="57" t="str">
        <f>IF(ISNUMBER(I98),IF(I98&gt;=Engagement!$C$40,"Red",IF(I98&gt;=Engagement!$C$41,"Amber","Green")),"")</f>
        <v/>
      </c>
      <c r="L98" s="22"/>
      <c r="M98" s="22"/>
      <c r="N98" s="22"/>
      <c r="O98" s="22"/>
      <c r="P98" s="19" t="s">
        <v>1434</v>
      </c>
      <c r="Q98" s="19" t="s">
        <v>1435</v>
      </c>
    </row>
    <row r="99" spans="1:17" ht="42" x14ac:dyDescent="0.15">
      <c r="A99" s="19" t="s">
        <v>1436</v>
      </c>
      <c r="B99" s="19" t="s">
        <v>249</v>
      </c>
      <c r="C99" s="19" t="s">
        <v>1437</v>
      </c>
      <c r="D99" s="19" t="s">
        <v>1438</v>
      </c>
      <c r="E99" s="19" t="s">
        <v>1439</v>
      </c>
      <c r="F99" s="44">
        <v>2</v>
      </c>
      <c r="G99" s="44"/>
      <c r="H99" s="55">
        <f>Engagement!$C$39</f>
        <v>3</v>
      </c>
      <c r="I99" s="56" t="str">
        <f t="shared" si="18"/>
        <v/>
      </c>
      <c r="J99" s="52" t="str">
        <f t="shared" si="19"/>
        <v/>
      </c>
      <c r="K99" s="57" t="str">
        <f>IF(ISNUMBER(I99),IF(I99&gt;=Engagement!$C$40,"Red",IF(I99&gt;=Engagement!$C$41,"Amber","Green")),"")</f>
        <v/>
      </c>
      <c r="L99" s="22"/>
      <c r="M99" s="22"/>
      <c r="N99" s="22"/>
      <c r="O99" s="22"/>
      <c r="P99" s="19" t="s">
        <v>1440</v>
      </c>
      <c r="Q99" s="19" t="s">
        <v>1441</v>
      </c>
    </row>
    <row r="100" spans="1:17" ht="42" x14ac:dyDescent="0.15">
      <c r="A100" s="19" t="s">
        <v>1442</v>
      </c>
      <c r="B100" s="19" t="s">
        <v>249</v>
      </c>
      <c r="C100" s="19" t="s">
        <v>1443</v>
      </c>
      <c r="D100" s="19" t="s">
        <v>1444</v>
      </c>
      <c r="E100" s="19" t="s">
        <v>1445</v>
      </c>
      <c r="F100" s="44">
        <v>2</v>
      </c>
      <c r="G100" s="44"/>
      <c r="H100" s="55">
        <f>Engagement!$C$39</f>
        <v>3</v>
      </c>
      <c r="I100" s="56" t="str">
        <f t="shared" si="18"/>
        <v/>
      </c>
      <c r="J100" s="52" t="str">
        <f t="shared" si="19"/>
        <v/>
      </c>
      <c r="K100" s="57" t="str">
        <f>IF(ISNUMBER(I100),IF(I100&gt;=Engagement!$C$40,"Red",IF(I100&gt;=Engagement!$C$41,"Amber","Green")),"")</f>
        <v/>
      </c>
      <c r="L100" s="22"/>
      <c r="M100" s="22"/>
      <c r="N100" s="22"/>
      <c r="O100" s="22"/>
      <c r="P100" s="19" t="s">
        <v>1446</v>
      </c>
      <c r="Q100" s="19" t="s">
        <v>1447</v>
      </c>
    </row>
    <row r="101" spans="1:17" ht="42" x14ac:dyDescent="0.15">
      <c r="A101" s="19" t="s">
        <v>1448</v>
      </c>
      <c r="B101" s="19" t="s">
        <v>249</v>
      </c>
      <c r="C101" s="19" t="s">
        <v>1449</v>
      </c>
      <c r="D101" s="19" t="s">
        <v>1450</v>
      </c>
      <c r="E101" s="19" t="s">
        <v>1451</v>
      </c>
      <c r="F101" s="44">
        <v>2</v>
      </c>
      <c r="G101" s="44"/>
      <c r="H101" s="55">
        <f>Engagement!$C$39</f>
        <v>3</v>
      </c>
      <c r="I101" s="56" t="str">
        <f t="shared" si="18"/>
        <v/>
      </c>
      <c r="J101" s="52" t="str">
        <f t="shared" si="19"/>
        <v/>
      </c>
      <c r="K101" s="57" t="str">
        <f>IF(ISNUMBER(I101),IF(I101&gt;=Engagement!$C$40,"Red",IF(I101&gt;=Engagement!$C$41,"Amber","Green")),"")</f>
        <v/>
      </c>
      <c r="L101" s="22"/>
      <c r="M101" s="22"/>
      <c r="N101" s="22"/>
      <c r="O101" s="22"/>
      <c r="P101" s="19" t="s">
        <v>1452</v>
      </c>
      <c r="Q101" s="19" t="s">
        <v>1251</v>
      </c>
    </row>
    <row r="102" spans="1:17" ht="42" x14ac:dyDescent="0.15">
      <c r="A102" s="19" t="s">
        <v>1453</v>
      </c>
      <c r="B102" s="19" t="s">
        <v>249</v>
      </c>
      <c r="C102" s="19" t="s">
        <v>1454</v>
      </c>
      <c r="D102" s="19" t="s">
        <v>1455</v>
      </c>
      <c r="E102" s="19" t="s">
        <v>1456</v>
      </c>
      <c r="F102" s="44">
        <v>2</v>
      </c>
      <c r="G102" s="44"/>
      <c r="H102" s="55">
        <f>Engagement!$C$39</f>
        <v>3</v>
      </c>
      <c r="I102" s="56" t="str">
        <f t="shared" si="18"/>
        <v/>
      </c>
      <c r="J102" s="52" t="str">
        <f t="shared" si="19"/>
        <v/>
      </c>
      <c r="K102" s="57" t="str">
        <f>IF(ISNUMBER(I102),IF(I102&gt;=Engagement!$C$40,"Red",IF(I102&gt;=Engagement!$C$41,"Amber","Green")),"")</f>
        <v/>
      </c>
      <c r="L102" s="22"/>
      <c r="M102" s="22"/>
      <c r="N102" s="22"/>
      <c r="O102" s="22"/>
      <c r="P102" s="19" t="s">
        <v>1457</v>
      </c>
      <c r="Q102" s="19" t="s">
        <v>1458</v>
      </c>
    </row>
    <row r="103" spans="1:17" ht="42" x14ac:dyDescent="0.15">
      <c r="A103" s="19" t="s">
        <v>1459</v>
      </c>
      <c r="B103" s="19" t="s">
        <v>249</v>
      </c>
      <c r="C103" s="19" t="s">
        <v>1460</v>
      </c>
      <c r="D103" s="19" t="s">
        <v>1461</v>
      </c>
      <c r="E103" s="19" t="s">
        <v>1462</v>
      </c>
      <c r="F103" s="44">
        <v>2</v>
      </c>
      <c r="G103" s="44"/>
      <c r="H103" s="55">
        <f>Engagement!$C$39</f>
        <v>3</v>
      </c>
      <c r="I103" s="56" t="str">
        <f t="shared" si="18"/>
        <v/>
      </c>
      <c r="J103" s="52" t="str">
        <f t="shared" si="19"/>
        <v/>
      </c>
      <c r="K103" s="57" t="str">
        <f>IF(ISNUMBER(I103),IF(I103&gt;=Engagement!$C$40,"Red",IF(I103&gt;=Engagement!$C$41,"Amber","Green")),"")</f>
        <v/>
      </c>
      <c r="L103" s="22"/>
      <c r="M103" s="22"/>
      <c r="N103" s="22"/>
      <c r="O103" s="22"/>
      <c r="P103" s="19" t="s">
        <v>1463</v>
      </c>
      <c r="Q103" s="19" t="s">
        <v>1358</v>
      </c>
    </row>
    <row r="104" spans="1:17" ht="42" x14ac:dyDescent="0.15">
      <c r="A104" s="19" t="s">
        <v>1464</v>
      </c>
      <c r="B104" s="19" t="s">
        <v>249</v>
      </c>
      <c r="C104" s="19" t="s">
        <v>1465</v>
      </c>
      <c r="D104" s="19" t="s">
        <v>1466</v>
      </c>
      <c r="E104" s="19" t="s">
        <v>1467</v>
      </c>
      <c r="F104" s="44">
        <v>2</v>
      </c>
      <c r="G104" s="44"/>
      <c r="H104" s="55">
        <f>Engagement!$C$39</f>
        <v>3</v>
      </c>
      <c r="I104" s="56" t="str">
        <f t="shared" si="18"/>
        <v/>
      </c>
      <c r="J104" s="52" t="str">
        <f t="shared" si="19"/>
        <v/>
      </c>
      <c r="K104" s="57" t="str">
        <f>IF(ISNUMBER(I104),IF(I104&gt;=Engagement!$C$40,"Red",IF(I104&gt;=Engagement!$C$41,"Amber","Green")),"")</f>
        <v/>
      </c>
      <c r="L104" s="22"/>
      <c r="M104" s="22"/>
      <c r="N104" s="22"/>
      <c r="O104" s="22"/>
      <c r="P104" s="19" t="s">
        <v>1468</v>
      </c>
      <c r="Q104" s="19" t="s">
        <v>1469</v>
      </c>
    </row>
    <row r="105" spans="1:17" ht="42" x14ac:dyDescent="0.15">
      <c r="A105" s="19" t="s">
        <v>1470</v>
      </c>
      <c r="B105" s="19" t="s">
        <v>249</v>
      </c>
      <c r="C105" s="19" t="s">
        <v>1471</v>
      </c>
      <c r="D105" s="19" t="s">
        <v>1472</v>
      </c>
      <c r="E105" s="19" t="s">
        <v>1473</v>
      </c>
      <c r="F105" s="44">
        <v>2</v>
      </c>
      <c r="G105" s="44"/>
      <c r="H105" s="55">
        <f>Engagement!$C$39</f>
        <v>3</v>
      </c>
      <c r="I105" s="56" t="str">
        <f t="shared" si="18"/>
        <v/>
      </c>
      <c r="J105" s="52" t="str">
        <f t="shared" si="19"/>
        <v/>
      </c>
      <c r="K105" s="57" t="str">
        <f>IF(ISNUMBER(I105),IF(I105&gt;=Engagement!$C$40,"Red",IF(I105&gt;=Engagement!$C$41,"Amber","Green")),"")</f>
        <v/>
      </c>
      <c r="L105" s="22"/>
      <c r="M105" s="22"/>
      <c r="N105" s="22"/>
      <c r="O105" s="22"/>
      <c r="P105" s="19" t="s">
        <v>1474</v>
      </c>
      <c r="Q105" s="19" t="s">
        <v>1475</v>
      </c>
    </row>
    <row r="106" spans="1:17" ht="18" customHeight="1" x14ac:dyDescent="0.15">
      <c r="A106" s="16" t="s">
        <v>1476</v>
      </c>
      <c r="B106" s="53"/>
      <c r="C106" s="53"/>
      <c r="D106" s="54" t="s">
        <v>258</v>
      </c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</row>
    <row r="107" spans="1:17" ht="28" x14ac:dyDescent="0.15">
      <c r="A107" s="19" t="s">
        <v>1477</v>
      </c>
      <c r="B107" s="19" t="s">
        <v>257</v>
      </c>
      <c r="C107" s="19" t="s">
        <v>1478</v>
      </c>
      <c r="D107" s="19" t="s">
        <v>1479</v>
      </c>
      <c r="E107" s="19" t="s">
        <v>1480</v>
      </c>
      <c r="F107" s="44">
        <v>2</v>
      </c>
      <c r="G107" s="44"/>
      <c r="H107" s="55">
        <f>Engagement!$C$39</f>
        <v>3</v>
      </c>
      <c r="I107" s="56" t="str">
        <f t="shared" ref="I107:I117" si="20">IF(AND(ISNUMBER(G107),ISNUMBER(H107)),H107-G107,"")</f>
        <v/>
      </c>
      <c r="J107" s="52" t="str">
        <f t="shared" ref="J107:J117" si="21">IF(AND(ISNUMBER(I107),ISNUMBER(F107)),MAX(0,I107)*F107,"")</f>
        <v/>
      </c>
      <c r="K107" s="57" t="str">
        <f>IF(ISNUMBER(I107),IF(I107&gt;=Engagement!$C$40,"Red",IF(I107&gt;=Engagement!$C$41,"Amber","Green")),"")</f>
        <v/>
      </c>
      <c r="L107" s="22"/>
      <c r="M107" s="22"/>
      <c r="N107" s="22"/>
      <c r="O107" s="22"/>
      <c r="P107" s="19" t="s">
        <v>1481</v>
      </c>
      <c r="Q107" s="19" t="s">
        <v>1482</v>
      </c>
    </row>
    <row r="108" spans="1:17" ht="42" x14ac:dyDescent="0.15">
      <c r="A108" s="19" t="s">
        <v>1483</v>
      </c>
      <c r="B108" s="19" t="s">
        <v>257</v>
      </c>
      <c r="C108" s="19" t="s">
        <v>766</v>
      </c>
      <c r="D108" s="19" t="s">
        <v>1484</v>
      </c>
      <c r="E108" s="19" t="s">
        <v>1485</v>
      </c>
      <c r="F108" s="44">
        <v>2</v>
      </c>
      <c r="G108" s="44"/>
      <c r="H108" s="55">
        <f>Engagement!$C$39</f>
        <v>3</v>
      </c>
      <c r="I108" s="56" t="str">
        <f t="shared" si="20"/>
        <v/>
      </c>
      <c r="J108" s="52" t="str">
        <f t="shared" si="21"/>
        <v/>
      </c>
      <c r="K108" s="57" t="str">
        <f>IF(ISNUMBER(I108),IF(I108&gt;=Engagement!$C$40,"Red",IF(I108&gt;=Engagement!$C$41,"Amber","Green")),"")</f>
        <v/>
      </c>
      <c r="L108" s="22"/>
      <c r="M108" s="22"/>
      <c r="N108" s="22"/>
      <c r="O108" s="22"/>
      <c r="P108" s="19" t="s">
        <v>1486</v>
      </c>
      <c r="Q108" s="19" t="s">
        <v>1487</v>
      </c>
    </row>
    <row r="109" spans="1:17" ht="42" x14ac:dyDescent="0.15">
      <c r="A109" s="19" t="s">
        <v>1488</v>
      </c>
      <c r="B109" s="19" t="s">
        <v>257</v>
      </c>
      <c r="C109" s="19" t="s">
        <v>1489</v>
      </c>
      <c r="D109" s="19" t="s">
        <v>1490</v>
      </c>
      <c r="E109" s="19" t="s">
        <v>1491</v>
      </c>
      <c r="F109" s="44">
        <v>2</v>
      </c>
      <c r="G109" s="44"/>
      <c r="H109" s="55">
        <f>Engagement!$C$39</f>
        <v>3</v>
      </c>
      <c r="I109" s="56" t="str">
        <f t="shared" si="20"/>
        <v/>
      </c>
      <c r="J109" s="52" t="str">
        <f t="shared" si="21"/>
        <v/>
      </c>
      <c r="K109" s="57" t="str">
        <f>IF(ISNUMBER(I109),IF(I109&gt;=Engagement!$C$40,"Red",IF(I109&gt;=Engagement!$C$41,"Amber","Green")),"")</f>
        <v/>
      </c>
      <c r="L109" s="22"/>
      <c r="M109" s="22"/>
      <c r="N109" s="22"/>
      <c r="O109" s="22"/>
      <c r="P109" s="19" t="s">
        <v>1492</v>
      </c>
      <c r="Q109" s="19" t="s">
        <v>1493</v>
      </c>
    </row>
    <row r="110" spans="1:17" ht="28" x14ac:dyDescent="0.15">
      <c r="A110" s="19" t="s">
        <v>1494</v>
      </c>
      <c r="B110" s="19" t="s">
        <v>257</v>
      </c>
      <c r="C110" s="19" t="s">
        <v>1495</v>
      </c>
      <c r="D110" s="19" t="s">
        <v>1496</v>
      </c>
      <c r="E110" s="19" t="s">
        <v>1497</v>
      </c>
      <c r="F110" s="44">
        <v>2</v>
      </c>
      <c r="G110" s="44"/>
      <c r="H110" s="55">
        <f>Engagement!$C$39</f>
        <v>3</v>
      </c>
      <c r="I110" s="56" t="str">
        <f t="shared" si="20"/>
        <v/>
      </c>
      <c r="J110" s="52" t="str">
        <f t="shared" si="21"/>
        <v/>
      </c>
      <c r="K110" s="57" t="str">
        <f>IF(ISNUMBER(I110),IF(I110&gt;=Engagement!$C$40,"Red",IF(I110&gt;=Engagement!$C$41,"Amber","Green")),"")</f>
        <v/>
      </c>
      <c r="L110" s="22"/>
      <c r="M110" s="22"/>
      <c r="N110" s="22"/>
      <c r="O110" s="22"/>
      <c r="P110" s="19" t="s">
        <v>1498</v>
      </c>
      <c r="Q110" s="19" t="s">
        <v>1499</v>
      </c>
    </row>
    <row r="111" spans="1:17" ht="28" x14ac:dyDescent="0.15">
      <c r="A111" s="19" t="s">
        <v>1500</v>
      </c>
      <c r="B111" s="19" t="s">
        <v>257</v>
      </c>
      <c r="C111" s="19" t="s">
        <v>1501</v>
      </c>
      <c r="D111" s="19" t="s">
        <v>1502</v>
      </c>
      <c r="E111" s="19" t="s">
        <v>1503</v>
      </c>
      <c r="F111" s="44">
        <v>2</v>
      </c>
      <c r="G111" s="44"/>
      <c r="H111" s="55">
        <f>Engagement!$C$39</f>
        <v>3</v>
      </c>
      <c r="I111" s="56" t="str">
        <f t="shared" si="20"/>
        <v/>
      </c>
      <c r="J111" s="52" t="str">
        <f t="shared" si="21"/>
        <v/>
      </c>
      <c r="K111" s="57" t="str">
        <f>IF(ISNUMBER(I111),IF(I111&gt;=Engagement!$C$40,"Red",IF(I111&gt;=Engagement!$C$41,"Amber","Green")),"")</f>
        <v/>
      </c>
      <c r="L111" s="22"/>
      <c r="M111" s="22"/>
      <c r="N111" s="22"/>
      <c r="O111" s="22"/>
      <c r="P111" s="19" t="s">
        <v>1504</v>
      </c>
      <c r="Q111" s="19" t="s">
        <v>1505</v>
      </c>
    </row>
    <row r="112" spans="1:17" ht="28" x14ac:dyDescent="0.15">
      <c r="A112" s="19" t="s">
        <v>1506</v>
      </c>
      <c r="B112" s="19" t="s">
        <v>257</v>
      </c>
      <c r="C112" s="19" t="s">
        <v>1507</v>
      </c>
      <c r="D112" s="19" t="s">
        <v>1508</v>
      </c>
      <c r="E112" s="19" t="s">
        <v>1509</v>
      </c>
      <c r="F112" s="44">
        <v>2</v>
      </c>
      <c r="G112" s="44"/>
      <c r="H112" s="55">
        <f>Engagement!$C$39</f>
        <v>3</v>
      </c>
      <c r="I112" s="56" t="str">
        <f t="shared" si="20"/>
        <v/>
      </c>
      <c r="J112" s="52" t="str">
        <f t="shared" si="21"/>
        <v/>
      </c>
      <c r="K112" s="57" t="str">
        <f>IF(ISNUMBER(I112),IF(I112&gt;=Engagement!$C$40,"Red",IF(I112&gt;=Engagement!$C$41,"Amber","Green")),"")</f>
        <v/>
      </c>
      <c r="L112" s="22"/>
      <c r="M112" s="22"/>
      <c r="N112" s="22"/>
      <c r="O112" s="22"/>
      <c r="P112" s="19" t="s">
        <v>1510</v>
      </c>
      <c r="Q112" s="19" t="s">
        <v>1511</v>
      </c>
    </row>
    <row r="113" spans="1:17" ht="28" x14ac:dyDescent="0.15">
      <c r="A113" s="19" t="s">
        <v>1512</v>
      </c>
      <c r="B113" s="19" t="s">
        <v>257</v>
      </c>
      <c r="C113" s="19" t="s">
        <v>1513</v>
      </c>
      <c r="D113" s="19" t="s">
        <v>1514</v>
      </c>
      <c r="E113" s="19" t="s">
        <v>1515</v>
      </c>
      <c r="F113" s="44">
        <v>2</v>
      </c>
      <c r="G113" s="44"/>
      <c r="H113" s="55">
        <f>Engagement!$C$39</f>
        <v>3</v>
      </c>
      <c r="I113" s="56" t="str">
        <f t="shared" si="20"/>
        <v/>
      </c>
      <c r="J113" s="52" t="str">
        <f t="shared" si="21"/>
        <v/>
      </c>
      <c r="K113" s="57" t="str">
        <f>IF(ISNUMBER(I113),IF(I113&gt;=Engagement!$C$40,"Red",IF(I113&gt;=Engagement!$C$41,"Amber","Green")),"")</f>
        <v/>
      </c>
      <c r="L113" s="22"/>
      <c r="M113" s="22"/>
      <c r="N113" s="22"/>
      <c r="O113" s="22"/>
      <c r="P113" s="19" t="s">
        <v>1516</v>
      </c>
      <c r="Q113" s="19" t="s">
        <v>1517</v>
      </c>
    </row>
    <row r="114" spans="1:17" ht="42" x14ac:dyDescent="0.15">
      <c r="A114" s="19" t="s">
        <v>1518</v>
      </c>
      <c r="B114" s="19" t="s">
        <v>257</v>
      </c>
      <c r="C114" s="19" t="s">
        <v>1519</v>
      </c>
      <c r="D114" s="19" t="s">
        <v>1520</v>
      </c>
      <c r="E114" s="19" t="s">
        <v>1521</v>
      </c>
      <c r="F114" s="44">
        <v>2</v>
      </c>
      <c r="G114" s="44"/>
      <c r="H114" s="55">
        <f>Engagement!$C$39</f>
        <v>3</v>
      </c>
      <c r="I114" s="56" t="str">
        <f t="shared" si="20"/>
        <v/>
      </c>
      <c r="J114" s="52" t="str">
        <f t="shared" si="21"/>
        <v/>
      </c>
      <c r="K114" s="57" t="str">
        <f>IF(ISNUMBER(I114),IF(I114&gt;=Engagement!$C$40,"Red",IF(I114&gt;=Engagement!$C$41,"Amber","Green")),"")</f>
        <v/>
      </c>
      <c r="L114" s="22"/>
      <c r="M114" s="22"/>
      <c r="N114" s="22"/>
      <c r="O114" s="22"/>
      <c r="P114" s="19" t="s">
        <v>1522</v>
      </c>
      <c r="Q114" s="19" t="s">
        <v>821</v>
      </c>
    </row>
    <row r="115" spans="1:17" ht="42" x14ac:dyDescent="0.15">
      <c r="A115" s="19" t="s">
        <v>1523</v>
      </c>
      <c r="B115" s="19" t="s">
        <v>257</v>
      </c>
      <c r="C115" s="19" t="s">
        <v>1524</v>
      </c>
      <c r="D115" s="19" t="s">
        <v>1525</v>
      </c>
      <c r="E115" s="19" t="s">
        <v>1526</v>
      </c>
      <c r="F115" s="44">
        <v>2</v>
      </c>
      <c r="G115" s="44"/>
      <c r="H115" s="55">
        <f>Engagement!$C$39</f>
        <v>3</v>
      </c>
      <c r="I115" s="56" t="str">
        <f t="shared" si="20"/>
        <v/>
      </c>
      <c r="J115" s="52" t="str">
        <f t="shared" si="21"/>
        <v/>
      </c>
      <c r="K115" s="57" t="str">
        <f>IF(ISNUMBER(I115),IF(I115&gt;=Engagement!$C$40,"Red",IF(I115&gt;=Engagement!$C$41,"Amber","Green")),"")</f>
        <v/>
      </c>
      <c r="L115" s="22"/>
      <c r="M115" s="22"/>
      <c r="N115" s="22"/>
      <c r="O115" s="22"/>
      <c r="P115" s="19" t="s">
        <v>1527</v>
      </c>
      <c r="Q115" s="19" t="s">
        <v>1528</v>
      </c>
    </row>
    <row r="116" spans="1:17" ht="28" x14ac:dyDescent="0.15">
      <c r="A116" s="19" t="s">
        <v>1529</v>
      </c>
      <c r="B116" s="19" t="s">
        <v>257</v>
      </c>
      <c r="C116" s="19" t="s">
        <v>1530</v>
      </c>
      <c r="D116" s="19" t="s">
        <v>1531</v>
      </c>
      <c r="E116" s="19" t="s">
        <v>1532</v>
      </c>
      <c r="F116" s="44">
        <v>2</v>
      </c>
      <c r="G116" s="44"/>
      <c r="H116" s="55">
        <f>Engagement!$C$39</f>
        <v>3</v>
      </c>
      <c r="I116" s="56" t="str">
        <f t="shared" si="20"/>
        <v/>
      </c>
      <c r="J116" s="52" t="str">
        <f t="shared" si="21"/>
        <v/>
      </c>
      <c r="K116" s="57" t="str">
        <f>IF(ISNUMBER(I116),IF(I116&gt;=Engagement!$C$40,"Red",IF(I116&gt;=Engagement!$C$41,"Amber","Green")),"")</f>
        <v/>
      </c>
      <c r="L116" s="22"/>
      <c r="M116" s="22"/>
      <c r="N116" s="22"/>
      <c r="O116" s="22"/>
      <c r="P116" s="19" t="s">
        <v>1533</v>
      </c>
      <c r="Q116" s="19" t="s">
        <v>1534</v>
      </c>
    </row>
    <row r="117" spans="1:17" ht="28" x14ac:dyDescent="0.15">
      <c r="A117" s="19" t="s">
        <v>1535</v>
      </c>
      <c r="B117" s="19" t="s">
        <v>257</v>
      </c>
      <c r="C117" s="19" t="s">
        <v>1536</v>
      </c>
      <c r="D117" s="19" t="s">
        <v>1537</v>
      </c>
      <c r="E117" s="19" t="s">
        <v>1538</v>
      </c>
      <c r="F117" s="44">
        <v>2</v>
      </c>
      <c r="G117" s="44"/>
      <c r="H117" s="55">
        <f>Engagement!$C$39</f>
        <v>3</v>
      </c>
      <c r="I117" s="56" t="str">
        <f t="shared" si="20"/>
        <v/>
      </c>
      <c r="J117" s="52" t="str">
        <f t="shared" si="21"/>
        <v/>
      </c>
      <c r="K117" s="57" t="str">
        <f>IF(ISNUMBER(I117),IF(I117&gt;=Engagement!$C$40,"Red",IF(I117&gt;=Engagement!$C$41,"Amber","Green")),"")</f>
        <v/>
      </c>
      <c r="L117" s="22"/>
      <c r="M117" s="22"/>
      <c r="N117" s="22"/>
      <c r="O117" s="22"/>
      <c r="P117" s="19" t="s">
        <v>1539</v>
      </c>
      <c r="Q117" s="19" t="s">
        <v>1540</v>
      </c>
    </row>
    <row r="118" spans="1:17" ht="18" customHeight="1" x14ac:dyDescent="0.15">
      <c r="A118" s="16" t="s">
        <v>1541</v>
      </c>
      <c r="B118" s="53"/>
      <c r="C118" s="53"/>
      <c r="D118" s="54" t="s">
        <v>266</v>
      </c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</row>
    <row r="119" spans="1:17" ht="28" x14ac:dyDescent="0.15">
      <c r="A119" s="19" t="s">
        <v>1542</v>
      </c>
      <c r="B119" s="19" t="s">
        <v>265</v>
      </c>
      <c r="C119" s="19" t="s">
        <v>1543</v>
      </c>
      <c r="D119" s="19" t="s">
        <v>1544</v>
      </c>
      <c r="E119" s="19" t="s">
        <v>1545</v>
      </c>
      <c r="F119" s="44">
        <v>2</v>
      </c>
      <c r="G119" s="44"/>
      <c r="H119" s="55">
        <f>Engagement!$C$39</f>
        <v>3</v>
      </c>
      <c r="I119" s="56" t="str">
        <f t="shared" ref="I119:I127" si="22">IF(AND(ISNUMBER(G119),ISNUMBER(H119)),H119-G119,"")</f>
        <v/>
      </c>
      <c r="J119" s="52" t="str">
        <f t="shared" ref="J119:J127" si="23">IF(AND(ISNUMBER(I119),ISNUMBER(F119)),MAX(0,I119)*F119,"")</f>
        <v/>
      </c>
      <c r="K119" s="57" t="str">
        <f>IF(ISNUMBER(I119),IF(I119&gt;=Engagement!$C$40,"Red",IF(I119&gt;=Engagement!$C$41,"Amber","Green")),"")</f>
        <v/>
      </c>
      <c r="L119" s="22"/>
      <c r="M119" s="22"/>
      <c r="N119" s="22"/>
      <c r="O119" s="22"/>
      <c r="P119" s="19" t="s">
        <v>1543</v>
      </c>
      <c r="Q119" s="19" t="s">
        <v>1546</v>
      </c>
    </row>
    <row r="120" spans="1:17" ht="28" x14ac:dyDescent="0.15">
      <c r="A120" s="19" t="s">
        <v>1547</v>
      </c>
      <c r="B120" s="19" t="s">
        <v>265</v>
      </c>
      <c r="C120" s="19" t="s">
        <v>1548</v>
      </c>
      <c r="D120" s="19" t="s">
        <v>1549</v>
      </c>
      <c r="E120" s="19" t="s">
        <v>1550</v>
      </c>
      <c r="F120" s="44">
        <v>2</v>
      </c>
      <c r="G120" s="44"/>
      <c r="H120" s="55">
        <f>Engagement!$C$39</f>
        <v>3</v>
      </c>
      <c r="I120" s="56" t="str">
        <f t="shared" si="22"/>
        <v/>
      </c>
      <c r="J120" s="52" t="str">
        <f t="shared" si="23"/>
        <v/>
      </c>
      <c r="K120" s="57" t="str">
        <f>IF(ISNUMBER(I120),IF(I120&gt;=Engagement!$C$40,"Red",IF(I120&gt;=Engagement!$C$41,"Amber","Green")),"")</f>
        <v/>
      </c>
      <c r="L120" s="22"/>
      <c r="M120" s="22"/>
      <c r="N120" s="22"/>
      <c r="O120" s="22"/>
      <c r="P120" s="19" t="s">
        <v>1551</v>
      </c>
      <c r="Q120" s="19" t="s">
        <v>1552</v>
      </c>
    </row>
    <row r="121" spans="1:17" ht="28" x14ac:dyDescent="0.15">
      <c r="A121" s="19" t="s">
        <v>1553</v>
      </c>
      <c r="B121" s="19" t="s">
        <v>265</v>
      </c>
      <c r="C121" s="19" t="s">
        <v>1554</v>
      </c>
      <c r="D121" s="19" t="s">
        <v>1555</v>
      </c>
      <c r="E121" s="19" t="s">
        <v>1556</v>
      </c>
      <c r="F121" s="44">
        <v>2</v>
      </c>
      <c r="G121" s="44"/>
      <c r="H121" s="55">
        <f>Engagement!$C$39</f>
        <v>3</v>
      </c>
      <c r="I121" s="56" t="str">
        <f t="shared" si="22"/>
        <v/>
      </c>
      <c r="J121" s="52" t="str">
        <f t="shared" si="23"/>
        <v/>
      </c>
      <c r="K121" s="57" t="str">
        <f>IF(ISNUMBER(I121),IF(I121&gt;=Engagement!$C$40,"Red",IF(I121&gt;=Engagement!$C$41,"Amber","Green")),"")</f>
        <v/>
      </c>
      <c r="L121" s="22"/>
      <c r="M121" s="22"/>
      <c r="N121" s="22"/>
      <c r="O121" s="22"/>
      <c r="P121" s="19" t="s">
        <v>1557</v>
      </c>
      <c r="Q121" s="19" t="s">
        <v>1558</v>
      </c>
    </row>
    <row r="122" spans="1:17" ht="42" x14ac:dyDescent="0.15">
      <c r="A122" s="19" t="s">
        <v>1559</v>
      </c>
      <c r="B122" s="19" t="s">
        <v>265</v>
      </c>
      <c r="C122" s="19" t="s">
        <v>1560</v>
      </c>
      <c r="D122" s="19" t="s">
        <v>1561</v>
      </c>
      <c r="E122" s="19" t="s">
        <v>1562</v>
      </c>
      <c r="F122" s="44">
        <v>2</v>
      </c>
      <c r="G122" s="44"/>
      <c r="H122" s="55">
        <f>Engagement!$C$39</f>
        <v>3</v>
      </c>
      <c r="I122" s="56" t="str">
        <f t="shared" si="22"/>
        <v/>
      </c>
      <c r="J122" s="52" t="str">
        <f t="shared" si="23"/>
        <v/>
      </c>
      <c r="K122" s="57" t="str">
        <f>IF(ISNUMBER(I122),IF(I122&gt;=Engagement!$C$40,"Red",IF(I122&gt;=Engagement!$C$41,"Amber","Green")),"")</f>
        <v/>
      </c>
      <c r="L122" s="22"/>
      <c r="M122" s="22"/>
      <c r="N122" s="22"/>
      <c r="O122" s="22"/>
      <c r="P122" s="19" t="s">
        <v>1563</v>
      </c>
      <c r="Q122" s="19" t="s">
        <v>1564</v>
      </c>
    </row>
    <row r="123" spans="1:17" ht="28" x14ac:dyDescent="0.15">
      <c r="A123" s="19" t="s">
        <v>1565</v>
      </c>
      <c r="B123" s="19" t="s">
        <v>265</v>
      </c>
      <c r="C123" s="19" t="s">
        <v>1566</v>
      </c>
      <c r="D123" s="19" t="s">
        <v>1567</v>
      </c>
      <c r="E123" s="19" t="s">
        <v>1568</v>
      </c>
      <c r="F123" s="44">
        <v>2</v>
      </c>
      <c r="G123" s="44"/>
      <c r="H123" s="55">
        <f>Engagement!$C$39</f>
        <v>3</v>
      </c>
      <c r="I123" s="56" t="str">
        <f t="shared" si="22"/>
        <v/>
      </c>
      <c r="J123" s="52" t="str">
        <f t="shared" si="23"/>
        <v/>
      </c>
      <c r="K123" s="57" t="str">
        <f>IF(ISNUMBER(I123),IF(I123&gt;=Engagement!$C$40,"Red",IF(I123&gt;=Engagement!$C$41,"Amber","Green")),"")</f>
        <v/>
      </c>
      <c r="L123" s="22"/>
      <c r="M123" s="22"/>
      <c r="N123" s="22"/>
      <c r="O123" s="22"/>
      <c r="P123" s="19" t="s">
        <v>1569</v>
      </c>
      <c r="Q123" s="19" t="s">
        <v>1570</v>
      </c>
    </row>
    <row r="124" spans="1:17" ht="28" x14ac:dyDescent="0.15">
      <c r="A124" s="19" t="s">
        <v>1571</v>
      </c>
      <c r="B124" s="19" t="s">
        <v>265</v>
      </c>
      <c r="C124" s="19" t="s">
        <v>1572</v>
      </c>
      <c r="D124" s="19" t="s">
        <v>1573</v>
      </c>
      <c r="E124" s="19" t="s">
        <v>1574</v>
      </c>
      <c r="F124" s="44">
        <v>2</v>
      </c>
      <c r="G124" s="44"/>
      <c r="H124" s="55">
        <f>Engagement!$C$39</f>
        <v>3</v>
      </c>
      <c r="I124" s="56" t="str">
        <f t="shared" si="22"/>
        <v/>
      </c>
      <c r="J124" s="52" t="str">
        <f t="shared" si="23"/>
        <v/>
      </c>
      <c r="K124" s="57" t="str">
        <f>IF(ISNUMBER(I124),IF(I124&gt;=Engagement!$C$40,"Red",IF(I124&gt;=Engagement!$C$41,"Amber","Green")),"")</f>
        <v/>
      </c>
      <c r="L124" s="22"/>
      <c r="M124" s="22"/>
      <c r="N124" s="22"/>
      <c r="O124" s="22"/>
      <c r="P124" s="19" t="s">
        <v>1575</v>
      </c>
      <c r="Q124" s="19" t="s">
        <v>1576</v>
      </c>
    </row>
    <row r="125" spans="1:17" ht="42" x14ac:dyDescent="0.15">
      <c r="A125" s="19" t="s">
        <v>1577</v>
      </c>
      <c r="B125" s="19" t="s">
        <v>265</v>
      </c>
      <c r="C125" s="19" t="s">
        <v>1578</v>
      </c>
      <c r="D125" s="19" t="s">
        <v>1579</v>
      </c>
      <c r="E125" s="19" t="s">
        <v>1580</v>
      </c>
      <c r="F125" s="44">
        <v>2</v>
      </c>
      <c r="G125" s="44"/>
      <c r="H125" s="55">
        <f>Engagement!$C$39</f>
        <v>3</v>
      </c>
      <c r="I125" s="56" t="str">
        <f t="shared" si="22"/>
        <v/>
      </c>
      <c r="J125" s="52" t="str">
        <f t="shared" si="23"/>
        <v/>
      </c>
      <c r="K125" s="57" t="str">
        <f>IF(ISNUMBER(I125),IF(I125&gt;=Engagement!$C$40,"Red",IF(I125&gt;=Engagement!$C$41,"Amber","Green")),"")</f>
        <v/>
      </c>
      <c r="L125" s="22"/>
      <c r="M125" s="22"/>
      <c r="N125" s="22"/>
      <c r="O125" s="22"/>
      <c r="P125" s="19" t="s">
        <v>1581</v>
      </c>
      <c r="Q125" s="19" t="s">
        <v>1582</v>
      </c>
    </row>
    <row r="126" spans="1:17" ht="42" x14ac:dyDescent="0.15">
      <c r="A126" s="19" t="s">
        <v>1583</v>
      </c>
      <c r="B126" s="19" t="s">
        <v>265</v>
      </c>
      <c r="C126" s="19" t="s">
        <v>1584</v>
      </c>
      <c r="D126" s="19" t="s">
        <v>1585</v>
      </c>
      <c r="E126" s="19" t="s">
        <v>1586</v>
      </c>
      <c r="F126" s="44">
        <v>2</v>
      </c>
      <c r="G126" s="44"/>
      <c r="H126" s="55">
        <f>Engagement!$C$39</f>
        <v>3</v>
      </c>
      <c r="I126" s="56" t="str">
        <f t="shared" si="22"/>
        <v/>
      </c>
      <c r="J126" s="52" t="str">
        <f t="shared" si="23"/>
        <v/>
      </c>
      <c r="K126" s="57" t="str">
        <f>IF(ISNUMBER(I126),IF(I126&gt;=Engagement!$C$40,"Red",IF(I126&gt;=Engagement!$C$41,"Amber","Green")),"")</f>
        <v/>
      </c>
      <c r="L126" s="22"/>
      <c r="M126" s="22"/>
      <c r="N126" s="22"/>
      <c r="O126" s="22"/>
      <c r="P126" s="19" t="s">
        <v>1587</v>
      </c>
      <c r="Q126" s="19" t="s">
        <v>1588</v>
      </c>
    </row>
    <row r="127" spans="1:17" ht="28" x14ac:dyDescent="0.15">
      <c r="A127" s="19" t="s">
        <v>1589</v>
      </c>
      <c r="B127" s="19" t="s">
        <v>265</v>
      </c>
      <c r="C127" s="19" t="s">
        <v>1590</v>
      </c>
      <c r="D127" s="19" t="s">
        <v>1591</v>
      </c>
      <c r="E127" s="19" t="s">
        <v>1592</v>
      </c>
      <c r="F127" s="44">
        <v>2</v>
      </c>
      <c r="G127" s="44"/>
      <c r="H127" s="55">
        <f>Engagement!$C$39</f>
        <v>3</v>
      </c>
      <c r="I127" s="56" t="str">
        <f t="shared" si="22"/>
        <v/>
      </c>
      <c r="J127" s="52" t="str">
        <f t="shared" si="23"/>
        <v/>
      </c>
      <c r="K127" s="57" t="str">
        <f>IF(ISNUMBER(I127),IF(I127&gt;=Engagement!$C$40,"Red",IF(I127&gt;=Engagement!$C$41,"Amber","Green")),"")</f>
        <v/>
      </c>
      <c r="L127" s="22"/>
      <c r="M127" s="22"/>
      <c r="N127" s="22"/>
      <c r="O127" s="22"/>
      <c r="P127" s="19" t="s">
        <v>1593</v>
      </c>
      <c r="Q127" s="19" t="s">
        <v>1594</v>
      </c>
    </row>
    <row r="128" spans="1:17" ht="18" customHeight="1" x14ac:dyDescent="0.15">
      <c r="A128" s="16" t="s">
        <v>1595</v>
      </c>
      <c r="B128" s="53"/>
      <c r="C128" s="53"/>
      <c r="D128" s="54" t="s">
        <v>274</v>
      </c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</row>
    <row r="129" spans="1:17" ht="28" x14ac:dyDescent="0.15">
      <c r="A129" s="19" t="s">
        <v>1596</v>
      </c>
      <c r="B129" s="19" t="s">
        <v>273</v>
      </c>
      <c r="C129" s="19" t="s">
        <v>1597</v>
      </c>
      <c r="D129" s="19" t="s">
        <v>1598</v>
      </c>
      <c r="E129" s="19" t="s">
        <v>1599</v>
      </c>
      <c r="F129" s="44">
        <v>2</v>
      </c>
      <c r="G129" s="44"/>
      <c r="H129" s="55">
        <f>Engagement!$C$39</f>
        <v>3</v>
      </c>
      <c r="I129" s="56" t="str">
        <f t="shared" ref="I129:I136" si="24">IF(AND(ISNUMBER(G129),ISNUMBER(H129)),H129-G129,"")</f>
        <v/>
      </c>
      <c r="J129" s="52" t="str">
        <f t="shared" ref="J129:J136" si="25">IF(AND(ISNUMBER(I129),ISNUMBER(F129)),MAX(0,I129)*F129,"")</f>
        <v/>
      </c>
      <c r="K129" s="57" t="str">
        <f>IF(ISNUMBER(I129),IF(I129&gt;=Engagement!$C$40,"Red",IF(I129&gt;=Engagement!$C$41,"Amber","Green")),"")</f>
        <v/>
      </c>
      <c r="L129" s="22"/>
      <c r="M129" s="22"/>
      <c r="N129" s="22"/>
      <c r="O129" s="22"/>
      <c r="P129" s="19" t="s">
        <v>1600</v>
      </c>
      <c r="Q129" s="19" t="s">
        <v>1203</v>
      </c>
    </row>
    <row r="130" spans="1:17" ht="28" x14ac:dyDescent="0.15">
      <c r="A130" s="19" t="s">
        <v>1601</v>
      </c>
      <c r="B130" s="19" t="s">
        <v>273</v>
      </c>
      <c r="C130" s="19" t="s">
        <v>1602</v>
      </c>
      <c r="D130" s="19" t="s">
        <v>1603</v>
      </c>
      <c r="E130" s="19" t="s">
        <v>1604</v>
      </c>
      <c r="F130" s="44">
        <v>2</v>
      </c>
      <c r="G130" s="44"/>
      <c r="H130" s="55">
        <f>Engagement!$C$39</f>
        <v>3</v>
      </c>
      <c r="I130" s="56" t="str">
        <f t="shared" si="24"/>
        <v/>
      </c>
      <c r="J130" s="52" t="str">
        <f t="shared" si="25"/>
        <v/>
      </c>
      <c r="K130" s="57" t="str">
        <f>IF(ISNUMBER(I130),IF(I130&gt;=Engagement!$C$40,"Red",IF(I130&gt;=Engagement!$C$41,"Amber","Green")),"")</f>
        <v/>
      </c>
      <c r="L130" s="22"/>
      <c r="M130" s="22"/>
      <c r="N130" s="22"/>
      <c r="O130" s="22"/>
      <c r="P130" s="19" t="s">
        <v>1605</v>
      </c>
      <c r="Q130" s="19" t="s">
        <v>1606</v>
      </c>
    </row>
    <row r="131" spans="1:17" ht="28" x14ac:dyDescent="0.15">
      <c r="A131" s="19" t="s">
        <v>1607</v>
      </c>
      <c r="B131" s="19" t="s">
        <v>273</v>
      </c>
      <c r="C131" s="19" t="s">
        <v>1608</v>
      </c>
      <c r="D131" s="19" t="s">
        <v>1609</v>
      </c>
      <c r="E131" s="19" t="s">
        <v>1610</v>
      </c>
      <c r="F131" s="44">
        <v>2</v>
      </c>
      <c r="G131" s="44"/>
      <c r="H131" s="55">
        <f>Engagement!$C$39</f>
        <v>3</v>
      </c>
      <c r="I131" s="56" t="str">
        <f t="shared" si="24"/>
        <v/>
      </c>
      <c r="J131" s="52" t="str">
        <f t="shared" si="25"/>
        <v/>
      </c>
      <c r="K131" s="57" t="str">
        <f>IF(ISNUMBER(I131),IF(I131&gt;=Engagement!$C$40,"Red",IF(I131&gt;=Engagement!$C$41,"Amber","Green")),"")</f>
        <v/>
      </c>
      <c r="L131" s="22"/>
      <c r="M131" s="22"/>
      <c r="N131" s="22"/>
      <c r="O131" s="22"/>
      <c r="P131" s="19" t="s">
        <v>1611</v>
      </c>
      <c r="Q131" s="19" t="s">
        <v>1612</v>
      </c>
    </row>
    <row r="132" spans="1:17" ht="28" x14ac:dyDescent="0.15">
      <c r="A132" s="19" t="s">
        <v>1613</v>
      </c>
      <c r="B132" s="19" t="s">
        <v>273</v>
      </c>
      <c r="C132" s="19" t="s">
        <v>1614</v>
      </c>
      <c r="D132" s="19" t="s">
        <v>1615</v>
      </c>
      <c r="E132" s="19" t="s">
        <v>1616</v>
      </c>
      <c r="F132" s="44">
        <v>2</v>
      </c>
      <c r="G132" s="44"/>
      <c r="H132" s="55">
        <f>Engagement!$C$39</f>
        <v>3</v>
      </c>
      <c r="I132" s="56" t="str">
        <f t="shared" si="24"/>
        <v/>
      </c>
      <c r="J132" s="52" t="str">
        <f t="shared" si="25"/>
        <v/>
      </c>
      <c r="K132" s="57" t="str">
        <f>IF(ISNUMBER(I132),IF(I132&gt;=Engagement!$C$40,"Red",IF(I132&gt;=Engagement!$C$41,"Amber","Green")),"")</f>
        <v/>
      </c>
      <c r="L132" s="22"/>
      <c r="M132" s="22"/>
      <c r="N132" s="22"/>
      <c r="O132" s="22"/>
      <c r="P132" s="19" t="s">
        <v>1617</v>
      </c>
      <c r="Q132" s="19" t="s">
        <v>848</v>
      </c>
    </row>
    <row r="133" spans="1:17" ht="28" x14ac:dyDescent="0.15">
      <c r="A133" s="19" t="s">
        <v>1618</v>
      </c>
      <c r="B133" s="19" t="s">
        <v>273</v>
      </c>
      <c r="C133" s="19" t="s">
        <v>1619</v>
      </c>
      <c r="D133" s="19" t="s">
        <v>1620</v>
      </c>
      <c r="E133" s="19" t="s">
        <v>1621</v>
      </c>
      <c r="F133" s="44">
        <v>2</v>
      </c>
      <c r="G133" s="44"/>
      <c r="H133" s="55">
        <f>Engagement!$C$39</f>
        <v>3</v>
      </c>
      <c r="I133" s="56" t="str">
        <f t="shared" si="24"/>
        <v/>
      </c>
      <c r="J133" s="52" t="str">
        <f t="shared" si="25"/>
        <v/>
      </c>
      <c r="K133" s="57" t="str">
        <f>IF(ISNUMBER(I133),IF(I133&gt;=Engagement!$C$40,"Red",IF(I133&gt;=Engagement!$C$41,"Amber","Green")),"")</f>
        <v/>
      </c>
      <c r="L133" s="22"/>
      <c r="M133" s="22"/>
      <c r="N133" s="22"/>
      <c r="O133" s="22"/>
      <c r="P133" s="19" t="s">
        <v>1622</v>
      </c>
      <c r="Q133" s="19" t="s">
        <v>1623</v>
      </c>
    </row>
    <row r="134" spans="1:17" ht="42" x14ac:dyDescent="0.15">
      <c r="A134" s="19" t="s">
        <v>1624</v>
      </c>
      <c r="B134" s="19" t="s">
        <v>273</v>
      </c>
      <c r="C134" s="19" t="s">
        <v>1625</v>
      </c>
      <c r="D134" s="19" t="s">
        <v>1626</v>
      </c>
      <c r="E134" s="19" t="s">
        <v>1627</v>
      </c>
      <c r="F134" s="44">
        <v>2</v>
      </c>
      <c r="G134" s="44"/>
      <c r="H134" s="55">
        <f>Engagement!$C$39</f>
        <v>3</v>
      </c>
      <c r="I134" s="56" t="str">
        <f t="shared" si="24"/>
        <v/>
      </c>
      <c r="J134" s="52" t="str">
        <f t="shared" si="25"/>
        <v/>
      </c>
      <c r="K134" s="57" t="str">
        <f>IF(ISNUMBER(I134),IF(I134&gt;=Engagement!$C$40,"Red",IF(I134&gt;=Engagement!$C$41,"Amber","Green")),"")</f>
        <v/>
      </c>
      <c r="L134" s="22"/>
      <c r="M134" s="22"/>
      <c r="N134" s="22"/>
      <c r="O134" s="22"/>
      <c r="P134" s="19" t="s">
        <v>1628</v>
      </c>
      <c r="Q134" s="19" t="s">
        <v>1629</v>
      </c>
    </row>
    <row r="135" spans="1:17" ht="28" x14ac:dyDescent="0.15">
      <c r="A135" s="19" t="s">
        <v>1630</v>
      </c>
      <c r="B135" s="19" t="s">
        <v>273</v>
      </c>
      <c r="C135" s="19" t="s">
        <v>1631</v>
      </c>
      <c r="D135" s="19" t="s">
        <v>1632</v>
      </c>
      <c r="E135" s="19" t="s">
        <v>1633</v>
      </c>
      <c r="F135" s="44">
        <v>2</v>
      </c>
      <c r="G135" s="44"/>
      <c r="H135" s="55">
        <f>Engagement!$C$39</f>
        <v>3</v>
      </c>
      <c r="I135" s="56" t="str">
        <f t="shared" si="24"/>
        <v/>
      </c>
      <c r="J135" s="52" t="str">
        <f t="shared" si="25"/>
        <v/>
      </c>
      <c r="K135" s="57" t="str">
        <f>IF(ISNUMBER(I135),IF(I135&gt;=Engagement!$C$40,"Red",IF(I135&gt;=Engagement!$C$41,"Amber","Green")),"")</f>
        <v/>
      </c>
      <c r="L135" s="22"/>
      <c r="M135" s="22"/>
      <c r="N135" s="22"/>
      <c r="O135" s="22"/>
      <c r="P135" s="19" t="s">
        <v>1634</v>
      </c>
      <c r="Q135" s="19" t="s">
        <v>1635</v>
      </c>
    </row>
    <row r="136" spans="1:17" ht="42" x14ac:dyDescent="0.15">
      <c r="A136" s="19" t="s">
        <v>1636</v>
      </c>
      <c r="B136" s="19" t="s">
        <v>273</v>
      </c>
      <c r="C136" s="19" t="s">
        <v>1637</v>
      </c>
      <c r="D136" s="19" t="s">
        <v>1638</v>
      </c>
      <c r="E136" s="19" t="s">
        <v>1639</v>
      </c>
      <c r="F136" s="44">
        <v>2</v>
      </c>
      <c r="G136" s="44"/>
      <c r="H136" s="55">
        <f>Engagement!$C$39</f>
        <v>3</v>
      </c>
      <c r="I136" s="56" t="str">
        <f t="shared" si="24"/>
        <v/>
      </c>
      <c r="J136" s="52" t="str">
        <f t="shared" si="25"/>
        <v/>
      </c>
      <c r="K136" s="57" t="str">
        <f>IF(ISNUMBER(I136),IF(I136&gt;=Engagement!$C$40,"Red",IF(I136&gt;=Engagement!$C$41,"Amber","Green")),"")</f>
        <v/>
      </c>
      <c r="L136" s="22"/>
      <c r="M136" s="22"/>
      <c r="N136" s="22"/>
      <c r="O136" s="22"/>
      <c r="P136" s="19" t="s">
        <v>1640</v>
      </c>
      <c r="Q136" s="19" t="s">
        <v>1641</v>
      </c>
    </row>
    <row r="137" spans="1:17" ht="18" customHeight="1" x14ac:dyDescent="0.15">
      <c r="A137" s="16" t="s">
        <v>1642</v>
      </c>
      <c r="B137" s="53"/>
      <c r="C137" s="53"/>
      <c r="D137" s="54" t="s">
        <v>282</v>
      </c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</row>
    <row r="138" spans="1:17" ht="28" x14ac:dyDescent="0.15">
      <c r="A138" s="19" t="s">
        <v>1643</v>
      </c>
      <c r="B138" s="19" t="s">
        <v>281</v>
      </c>
      <c r="C138" s="19" t="s">
        <v>1644</v>
      </c>
      <c r="D138" s="19" t="s">
        <v>1645</v>
      </c>
      <c r="E138" s="19" t="s">
        <v>1646</v>
      </c>
      <c r="F138" s="44">
        <v>2</v>
      </c>
      <c r="G138" s="44"/>
      <c r="H138" s="55">
        <f>Engagement!$C$39</f>
        <v>3</v>
      </c>
      <c r="I138" s="56" t="str">
        <f t="shared" ref="I138:I145" si="26">IF(AND(ISNUMBER(G138),ISNUMBER(H138)),H138-G138,"")</f>
        <v/>
      </c>
      <c r="J138" s="52" t="str">
        <f t="shared" ref="J138:J145" si="27">IF(AND(ISNUMBER(I138),ISNUMBER(F138)),MAX(0,I138)*F138,"")</f>
        <v/>
      </c>
      <c r="K138" s="57" t="str">
        <f>IF(ISNUMBER(I138),IF(I138&gt;=Engagement!$C$40,"Red",IF(I138&gt;=Engagement!$C$41,"Amber","Green")),"")</f>
        <v/>
      </c>
      <c r="L138" s="22"/>
      <c r="M138" s="22"/>
      <c r="N138" s="22"/>
      <c r="O138" s="22"/>
      <c r="P138" s="19" t="s">
        <v>1647</v>
      </c>
      <c r="Q138" s="19" t="s">
        <v>1648</v>
      </c>
    </row>
    <row r="139" spans="1:17" ht="42" x14ac:dyDescent="0.15">
      <c r="A139" s="19" t="s">
        <v>1649</v>
      </c>
      <c r="B139" s="19" t="s">
        <v>281</v>
      </c>
      <c r="C139" s="19" t="s">
        <v>1650</v>
      </c>
      <c r="D139" s="19" t="s">
        <v>1651</v>
      </c>
      <c r="E139" s="19" t="s">
        <v>1652</v>
      </c>
      <c r="F139" s="44">
        <v>2</v>
      </c>
      <c r="G139" s="44"/>
      <c r="H139" s="55">
        <f>Engagement!$C$39</f>
        <v>3</v>
      </c>
      <c r="I139" s="56" t="str">
        <f t="shared" si="26"/>
        <v/>
      </c>
      <c r="J139" s="52" t="str">
        <f t="shared" si="27"/>
        <v/>
      </c>
      <c r="K139" s="57" t="str">
        <f>IF(ISNUMBER(I139),IF(I139&gt;=Engagement!$C$40,"Red",IF(I139&gt;=Engagement!$C$41,"Amber","Green")),"")</f>
        <v/>
      </c>
      <c r="L139" s="22"/>
      <c r="M139" s="22"/>
      <c r="N139" s="22"/>
      <c r="O139" s="22"/>
      <c r="P139" s="19" t="s">
        <v>1653</v>
      </c>
      <c r="Q139" s="19" t="s">
        <v>1654</v>
      </c>
    </row>
    <row r="140" spans="1:17" ht="28" x14ac:dyDescent="0.15">
      <c r="A140" s="19" t="s">
        <v>1655</v>
      </c>
      <c r="B140" s="19" t="s">
        <v>281</v>
      </c>
      <c r="C140" s="19" t="s">
        <v>1656</v>
      </c>
      <c r="D140" s="19" t="s">
        <v>1657</v>
      </c>
      <c r="E140" s="19" t="s">
        <v>1658</v>
      </c>
      <c r="F140" s="44">
        <v>2</v>
      </c>
      <c r="G140" s="44"/>
      <c r="H140" s="55">
        <f>Engagement!$C$39</f>
        <v>3</v>
      </c>
      <c r="I140" s="56" t="str">
        <f t="shared" si="26"/>
        <v/>
      </c>
      <c r="J140" s="52" t="str">
        <f t="shared" si="27"/>
        <v/>
      </c>
      <c r="K140" s="57" t="str">
        <f>IF(ISNUMBER(I140),IF(I140&gt;=Engagement!$C$40,"Red",IF(I140&gt;=Engagement!$C$41,"Amber","Green")),"")</f>
        <v/>
      </c>
      <c r="L140" s="22"/>
      <c r="M140" s="22"/>
      <c r="N140" s="22"/>
      <c r="O140" s="22"/>
      <c r="P140" s="19" t="s">
        <v>1659</v>
      </c>
      <c r="Q140" s="19" t="s">
        <v>1660</v>
      </c>
    </row>
    <row r="141" spans="1:17" ht="28" x14ac:dyDescent="0.15">
      <c r="A141" s="19" t="s">
        <v>1661</v>
      </c>
      <c r="B141" s="19" t="s">
        <v>281</v>
      </c>
      <c r="C141" s="19" t="s">
        <v>1662</v>
      </c>
      <c r="D141" s="19" t="s">
        <v>1663</v>
      </c>
      <c r="E141" s="19" t="s">
        <v>1664</v>
      </c>
      <c r="F141" s="44">
        <v>2</v>
      </c>
      <c r="G141" s="44"/>
      <c r="H141" s="55">
        <f>Engagement!$C$39</f>
        <v>3</v>
      </c>
      <c r="I141" s="56" t="str">
        <f t="shared" si="26"/>
        <v/>
      </c>
      <c r="J141" s="52" t="str">
        <f t="shared" si="27"/>
        <v/>
      </c>
      <c r="K141" s="57" t="str">
        <f>IF(ISNUMBER(I141),IF(I141&gt;=Engagement!$C$40,"Red",IF(I141&gt;=Engagement!$C$41,"Amber","Green")),"")</f>
        <v/>
      </c>
      <c r="L141" s="22"/>
      <c r="M141" s="22"/>
      <c r="N141" s="22"/>
      <c r="O141" s="22"/>
      <c r="P141" s="19" t="s">
        <v>1665</v>
      </c>
      <c r="Q141" s="19" t="s">
        <v>1660</v>
      </c>
    </row>
    <row r="142" spans="1:17" ht="42" x14ac:dyDescent="0.15">
      <c r="A142" s="19" t="s">
        <v>1666</v>
      </c>
      <c r="B142" s="19" t="s">
        <v>281</v>
      </c>
      <c r="C142" s="19" t="s">
        <v>1667</v>
      </c>
      <c r="D142" s="19" t="s">
        <v>1668</v>
      </c>
      <c r="E142" s="19" t="s">
        <v>1669</v>
      </c>
      <c r="F142" s="44">
        <v>2</v>
      </c>
      <c r="G142" s="44"/>
      <c r="H142" s="55">
        <f>Engagement!$C$39</f>
        <v>3</v>
      </c>
      <c r="I142" s="56" t="str">
        <f t="shared" si="26"/>
        <v/>
      </c>
      <c r="J142" s="52" t="str">
        <f t="shared" si="27"/>
        <v/>
      </c>
      <c r="K142" s="57" t="str">
        <f>IF(ISNUMBER(I142),IF(I142&gt;=Engagement!$C$40,"Red",IF(I142&gt;=Engagement!$C$41,"Amber","Green")),"")</f>
        <v/>
      </c>
      <c r="L142" s="22"/>
      <c r="M142" s="22"/>
      <c r="N142" s="22"/>
      <c r="O142" s="22"/>
      <c r="P142" s="19" t="s">
        <v>1670</v>
      </c>
      <c r="Q142" s="19" t="s">
        <v>1671</v>
      </c>
    </row>
    <row r="143" spans="1:17" ht="28" x14ac:dyDescent="0.15">
      <c r="A143" s="19" t="s">
        <v>1672</v>
      </c>
      <c r="B143" s="19" t="s">
        <v>281</v>
      </c>
      <c r="C143" s="19" t="s">
        <v>1673</v>
      </c>
      <c r="D143" s="19" t="s">
        <v>1674</v>
      </c>
      <c r="E143" s="19" t="s">
        <v>1675</v>
      </c>
      <c r="F143" s="44">
        <v>2</v>
      </c>
      <c r="G143" s="44"/>
      <c r="H143" s="55">
        <f>Engagement!$C$39</f>
        <v>3</v>
      </c>
      <c r="I143" s="56" t="str">
        <f t="shared" si="26"/>
        <v/>
      </c>
      <c r="J143" s="52" t="str">
        <f t="shared" si="27"/>
        <v/>
      </c>
      <c r="K143" s="57" t="str">
        <f>IF(ISNUMBER(I143),IF(I143&gt;=Engagement!$C$40,"Red",IF(I143&gt;=Engagement!$C$41,"Amber","Green")),"")</f>
        <v/>
      </c>
      <c r="L143" s="22"/>
      <c r="M143" s="22"/>
      <c r="N143" s="22"/>
      <c r="O143" s="22"/>
      <c r="P143" s="19" t="s">
        <v>1676</v>
      </c>
      <c r="Q143" s="19" t="s">
        <v>1677</v>
      </c>
    </row>
    <row r="144" spans="1:17" ht="42" x14ac:dyDescent="0.15">
      <c r="A144" s="19" t="s">
        <v>1678</v>
      </c>
      <c r="B144" s="19" t="s">
        <v>281</v>
      </c>
      <c r="C144" s="19" t="s">
        <v>1679</v>
      </c>
      <c r="D144" s="19" t="s">
        <v>1680</v>
      </c>
      <c r="E144" s="19" t="s">
        <v>1681</v>
      </c>
      <c r="F144" s="44">
        <v>2</v>
      </c>
      <c r="G144" s="44"/>
      <c r="H144" s="55">
        <f>Engagement!$C$39</f>
        <v>3</v>
      </c>
      <c r="I144" s="56" t="str">
        <f t="shared" si="26"/>
        <v/>
      </c>
      <c r="J144" s="52" t="str">
        <f t="shared" si="27"/>
        <v/>
      </c>
      <c r="K144" s="57" t="str">
        <f>IF(ISNUMBER(I144),IF(I144&gt;=Engagement!$C$40,"Red",IF(I144&gt;=Engagement!$C$41,"Amber","Green")),"")</f>
        <v/>
      </c>
      <c r="L144" s="22"/>
      <c r="M144" s="22"/>
      <c r="N144" s="22"/>
      <c r="O144" s="22"/>
      <c r="P144" s="19" t="s">
        <v>1682</v>
      </c>
      <c r="Q144" s="19" t="s">
        <v>1683</v>
      </c>
    </row>
    <row r="145" spans="1:17" ht="28" x14ac:dyDescent="0.15">
      <c r="A145" s="19" t="s">
        <v>1684</v>
      </c>
      <c r="B145" s="19" t="s">
        <v>281</v>
      </c>
      <c r="C145" s="19" t="s">
        <v>1685</v>
      </c>
      <c r="D145" s="19" t="s">
        <v>1686</v>
      </c>
      <c r="E145" s="19" t="s">
        <v>1687</v>
      </c>
      <c r="F145" s="44">
        <v>2</v>
      </c>
      <c r="G145" s="44"/>
      <c r="H145" s="55">
        <f>Engagement!$C$39</f>
        <v>3</v>
      </c>
      <c r="I145" s="56" t="str">
        <f t="shared" si="26"/>
        <v/>
      </c>
      <c r="J145" s="52" t="str">
        <f t="shared" si="27"/>
        <v/>
      </c>
      <c r="K145" s="57" t="str">
        <f>IF(ISNUMBER(I145),IF(I145&gt;=Engagement!$C$40,"Red",IF(I145&gt;=Engagement!$C$41,"Amber","Green")),"")</f>
        <v/>
      </c>
      <c r="L145" s="22"/>
      <c r="M145" s="22"/>
      <c r="N145" s="22"/>
      <c r="O145" s="22"/>
      <c r="P145" s="19" t="s">
        <v>1688</v>
      </c>
      <c r="Q145" s="19" t="s">
        <v>1689</v>
      </c>
    </row>
    <row r="146" spans="1:17" ht="18" customHeight="1" x14ac:dyDescent="0.15">
      <c r="A146" s="16" t="s">
        <v>1690</v>
      </c>
      <c r="B146" s="53"/>
      <c r="C146" s="53"/>
      <c r="D146" s="54" t="s">
        <v>289</v>
      </c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</row>
    <row r="147" spans="1:17" ht="28" x14ac:dyDescent="0.15">
      <c r="A147" s="19" t="s">
        <v>1691</v>
      </c>
      <c r="B147" s="19" t="s">
        <v>288</v>
      </c>
      <c r="C147" s="19" t="s">
        <v>1692</v>
      </c>
      <c r="D147" s="19" t="s">
        <v>1693</v>
      </c>
      <c r="E147" s="19" t="s">
        <v>1694</v>
      </c>
      <c r="F147" s="44">
        <v>2</v>
      </c>
      <c r="G147" s="44"/>
      <c r="H147" s="55">
        <f>Engagement!$C$39</f>
        <v>3</v>
      </c>
      <c r="I147" s="56" t="str">
        <f t="shared" ref="I147:I158" si="28">IF(AND(ISNUMBER(G147),ISNUMBER(H147)),H147-G147,"")</f>
        <v/>
      </c>
      <c r="J147" s="52" t="str">
        <f t="shared" ref="J147:J158" si="29">IF(AND(ISNUMBER(I147),ISNUMBER(F147)),MAX(0,I147)*F147,"")</f>
        <v/>
      </c>
      <c r="K147" s="57" t="str">
        <f>IF(ISNUMBER(I147),IF(I147&gt;=Engagement!$C$40,"Red",IF(I147&gt;=Engagement!$C$41,"Amber","Green")),"")</f>
        <v/>
      </c>
      <c r="L147" s="22"/>
      <c r="M147" s="22"/>
      <c r="N147" s="22"/>
      <c r="O147" s="22"/>
      <c r="P147" s="19" t="s">
        <v>1695</v>
      </c>
      <c r="Q147" s="19" t="s">
        <v>1696</v>
      </c>
    </row>
    <row r="148" spans="1:17" ht="42" x14ac:dyDescent="0.15">
      <c r="A148" s="19" t="s">
        <v>1697</v>
      </c>
      <c r="B148" s="19" t="s">
        <v>288</v>
      </c>
      <c r="C148" s="19" t="s">
        <v>1698</v>
      </c>
      <c r="D148" s="19" t="s">
        <v>1699</v>
      </c>
      <c r="E148" s="19" t="s">
        <v>1700</v>
      </c>
      <c r="F148" s="44">
        <v>2</v>
      </c>
      <c r="G148" s="44"/>
      <c r="H148" s="55">
        <f>Engagement!$C$39</f>
        <v>3</v>
      </c>
      <c r="I148" s="56" t="str">
        <f t="shared" si="28"/>
        <v/>
      </c>
      <c r="J148" s="52" t="str">
        <f t="shared" si="29"/>
        <v/>
      </c>
      <c r="K148" s="57" t="str">
        <f>IF(ISNUMBER(I148),IF(I148&gt;=Engagement!$C$40,"Red",IF(I148&gt;=Engagement!$C$41,"Amber","Green")),"")</f>
        <v/>
      </c>
      <c r="L148" s="22"/>
      <c r="M148" s="22"/>
      <c r="N148" s="22"/>
      <c r="O148" s="22"/>
      <c r="P148" s="19" t="s">
        <v>1701</v>
      </c>
      <c r="Q148" s="19" t="s">
        <v>1702</v>
      </c>
    </row>
    <row r="149" spans="1:17" ht="28" x14ac:dyDescent="0.15">
      <c r="A149" s="19" t="s">
        <v>1703</v>
      </c>
      <c r="B149" s="19" t="s">
        <v>288</v>
      </c>
      <c r="C149" s="19" t="s">
        <v>1704</v>
      </c>
      <c r="D149" s="19" t="s">
        <v>1705</v>
      </c>
      <c r="E149" s="19" t="s">
        <v>1706</v>
      </c>
      <c r="F149" s="44">
        <v>2</v>
      </c>
      <c r="G149" s="44"/>
      <c r="H149" s="55">
        <f>Engagement!$C$39</f>
        <v>3</v>
      </c>
      <c r="I149" s="56" t="str">
        <f t="shared" si="28"/>
        <v/>
      </c>
      <c r="J149" s="52" t="str">
        <f t="shared" si="29"/>
        <v/>
      </c>
      <c r="K149" s="57" t="str">
        <f>IF(ISNUMBER(I149),IF(I149&gt;=Engagement!$C$40,"Red",IF(I149&gt;=Engagement!$C$41,"Amber","Green")),"")</f>
        <v/>
      </c>
      <c r="L149" s="22"/>
      <c r="M149" s="22"/>
      <c r="N149" s="22"/>
      <c r="O149" s="22"/>
      <c r="P149" s="19" t="s">
        <v>1707</v>
      </c>
      <c r="Q149" s="19" t="s">
        <v>1708</v>
      </c>
    </row>
    <row r="150" spans="1:17" ht="28" x14ac:dyDescent="0.15">
      <c r="A150" s="19" t="s">
        <v>1709</v>
      </c>
      <c r="B150" s="19" t="s">
        <v>288</v>
      </c>
      <c r="C150" s="19" t="s">
        <v>1710</v>
      </c>
      <c r="D150" s="19" t="s">
        <v>1711</v>
      </c>
      <c r="E150" s="19" t="s">
        <v>1712</v>
      </c>
      <c r="F150" s="44">
        <v>2</v>
      </c>
      <c r="G150" s="44"/>
      <c r="H150" s="55">
        <f>Engagement!$C$39</f>
        <v>3</v>
      </c>
      <c r="I150" s="56" t="str">
        <f t="shared" si="28"/>
        <v/>
      </c>
      <c r="J150" s="52" t="str">
        <f t="shared" si="29"/>
        <v/>
      </c>
      <c r="K150" s="57" t="str">
        <f>IF(ISNUMBER(I150),IF(I150&gt;=Engagement!$C$40,"Red",IF(I150&gt;=Engagement!$C$41,"Amber","Green")),"")</f>
        <v/>
      </c>
      <c r="L150" s="22"/>
      <c r="M150" s="22"/>
      <c r="N150" s="22"/>
      <c r="O150" s="22"/>
      <c r="P150" s="19" t="s">
        <v>1713</v>
      </c>
      <c r="Q150" s="19" t="s">
        <v>1714</v>
      </c>
    </row>
    <row r="151" spans="1:17" ht="28" x14ac:dyDescent="0.15">
      <c r="A151" s="19" t="s">
        <v>1715</v>
      </c>
      <c r="B151" s="19" t="s">
        <v>288</v>
      </c>
      <c r="C151" s="19" t="s">
        <v>1716</v>
      </c>
      <c r="D151" s="19" t="s">
        <v>1717</v>
      </c>
      <c r="E151" s="19" t="s">
        <v>1718</v>
      </c>
      <c r="F151" s="44">
        <v>2</v>
      </c>
      <c r="G151" s="44"/>
      <c r="H151" s="55">
        <f>Engagement!$C$39</f>
        <v>3</v>
      </c>
      <c r="I151" s="56" t="str">
        <f t="shared" si="28"/>
        <v/>
      </c>
      <c r="J151" s="52" t="str">
        <f t="shared" si="29"/>
        <v/>
      </c>
      <c r="K151" s="57" t="str">
        <f>IF(ISNUMBER(I151),IF(I151&gt;=Engagement!$C$40,"Red",IF(I151&gt;=Engagement!$C$41,"Amber","Green")),"")</f>
        <v/>
      </c>
      <c r="L151" s="22"/>
      <c r="M151" s="22"/>
      <c r="N151" s="22"/>
      <c r="O151" s="22"/>
      <c r="P151" s="19" t="s">
        <v>1719</v>
      </c>
      <c r="Q151" s="19" t="s">
        <v>1720</v>
      </c>
    </row>
    <row r="152" spans="1:17" ht="28" x14ac:dyDescent="0.15">
      <c r="A152" s="19" t="s">
        <v>1721</v>
      </c>
      <c r="B152" s="19" t="s">
        <v>288</v>
      </c>
      <c r="C152" s="19" t="s">
        <v>1722</v>
      </c>
      <c r="D152" s="19" t="s">
        <v>1723</v>
      </c>
      <c r="E152" s="19" t="s">
        <v>1724</v>
      </c>
      <c r="F152" s="44">
        <v>2</v>
      </c>
      <c r="G152" s="44"/>
      <c r="H152" s="55">
        <f>Engagement!$C$39</f>
        <v>3</v>
      </c>
      <c r="I152" s="56" t="str">
        <f t="shared" si="28"/>
        <v/>
      </c>
      <c r="J152" s="52" t="str">
        <f t="shared" si="29"/>
        <v/>
      </c>
      <c r="K152" s="57" t="str">
        <f>IF(ISNUMBER(I152),IF(I152&gt;=Engagement!$C$40,"Red",IF(I152&gt;=Engagement!$C$41,"Amber","Green")),"")</f>
        <v/>
      </c>
      <c r="L152" s="22"/>
      <c r="M152" s="22"/>
      <c r="N152" s="22"/>
      <c r="O152" s="22"/>
      <c r="P152" s="19" t="s">
        <v>1725</v>
      </c>
      <c r="Q152" s="19" t="s">
        <v>1726</v>
      </c>
    </row>
    <row r="153" spans="1:17" ht="42" x14ac:dyDescent="0.15">
      <c r="A153" s="19" t="s">
        <v>1727</v>
      </c>
      <c r="B153" s="19" t="s">
        <v>288</v>
      </c>
      <c r="C153" s="19" t="s">
        <v>1728</v>
      </c>
      <c r="D153" s="19" t="s">
        <v>1729</v>
      </c>
      <c r="E153" s="19" t="s">
        <v>1730</v>
      </c>
      <c r="F153" s="44">
        <v>2</v>
      </c>
      <c r="G153" s="44"/>
      <c r="H153" s="55">
        <f>Engagement!$C$39</f>
        <v>3</v>
      </c>
      <c r="I153" s="56" t="str">
        <f t="shared" si="28"/>
        <v/>
      </c>
      <c r="J153" s="52" t="str">
        <f t="shared" si="29"/>
        <v/>
      </c>
      <c r="K153" s="57" t="str">
        <f>IF(ISNUMBER(I153),IF(I153&gt;=Engagement!$C$40,"Red",IF(I153&gt;=Engagement!$C$41,"Amber","Green")),"")</f>
        <v/>
      </c>
      <c r="L153" s="22"/>
      <c r="M153" s="22"/>
      <c r="N153" s="22"/>
      <c r="O153" s="22"/>
      <c r="P153" s="19" t="s">
        <v>1731</v>
      </c>
      <c r="Q153" s="19" t="s">
        <v>1732</v>
      </c>
    </row>
    <row r="154" spans="1:17" ht="42" x14ac:dyDescent="0.15">
      <c r="A154" s="19" t="s">
        <v>1733</v>
      </c>
      <c r="B154" s="19" t="s">
        <v>288</v>
      </c>
      <c r="C154" s="19" t="s">
        <v>1734</v>
      </c>
      <c r="D154" s="19" t="s">
        <v>1735</v>
      </c>
      <c r="E154" s="19" t="s">
        <v>1736</v>
      </c>
      <c r="F154" s="44">
        <v>2</v>
      </c>
      <c r="G154" s="44"/>
      <c r="H154" s="55">
        <f>Engagement!$C$39</f>
        <v>3</v>
      </c>
      <c r="I154" s="56" t="str">
        <f t="shared" si="28"/>
        <v/>
      </c>
      <c r="J154" s="52" t="str">
        <f t="shared" si="29"/>
        <v/>
      </c>
      <c r="K154" s="57" t="str">
        <f>IF(ISNUMBER(I154),IF(I154&gt;=Engagement!$C$40,"Red",IF(I154&gt;=Engagement!$C$41,"Amber","Green")),"")</f>
        <v/>
      </c>
      <c r="L154" s="22"/>
      <c r="M154" s="22"/>
      <c r="N154" s="22"/>
      <c r="O154" s="22"/>
      <c r="P154" s="19" t="s">
        <v>1737</v>
      </c>
      <c r="Q154" s="19" t="s">
        <v>1738</v>
      </c>
    </row>
    <row r="155" spans="1:17" ht="28" x14ac:dyDescent="0.15">
      <c r="A155" s="19" t="s">
        <v>1739</v>
      </c>
      <c r="B155" s="19" t="s">
        <v>288</v>
      </c>
      <c r="C155" s="19" t="s">
        <v>1740</v>
      </c>
      <c r="D155" s="19" t="s">
        <v>1741</v>
      </c>
      <c r="E155" s="19" t="s">
        <v>1742</v>
      </c>
      <c r="F155" s="44">
        <v>2</v>
      </c>
      <c r="G155" s="44"/>
      <c r="H155" s="55">
        <f>Engagement!$C$39</f>
        <v>3</v>
      </c>
      <c r="I155" s="56" t="str">
        <f t="shared" si="28"/>
        <v/>
      </c>
      <c r="J155" s="52" t="str">
        <f t="shared" si="29"/>
        <v/>
      </c>
      <c r="K155" s="57" t="str">
        <f>IF(ISNUMBER(I155),IF(I155&gt;=Engagement!$C$40,"Red",IF(I155&gt;=Engagement!$C$41,"Amber","Green")),"")</f>
        <v/>
      </c>
      <c r="L155" s="22"/>
      <c r="M155" s="22"/>
      <c r="N155" s="22"/>
      <c r="O155" s="22"/>
      <c r="P155" s="19" t="s">
        <v>1743</v>
      </c>
      <c r="Q155" s="19" t="s">
        <v>1744</v>
      </c>
    </row>
    <row r="156" spans="1:17" ht="28" x14ac:dyDescent="0.15">
      <c r="A156" s="19" t="s">
        <v>1745</v>
      </c>
      <c r="B156" s="19" t="s">
        <v>288</v>
      </c>
      <c r="C156" s="19" t="s">
        <v>1746</v>
      </c>
      <c r="D156" s="19" t="s">
        <v>1747</v>
      </c>
      <c r="E156" s="19" t="s">
        <v>1748</v>
      </c>
      <c r="F156" s="44">
        <v>2</v>
      </c>
      <c r="G156" s="44"/>
      <c r="H156" s="55">
        <f>Engagement!$C$39</f>
        <v>3</v>
      </c>
      <c r="I156" s="56" t="str">
        <f t="shared" si="28"/>
        <v/>
      </c>
      <c r="J156" s="52" t="str">
        <f t="shared" si="29"/>
        <v/>
      </c>
      <c r="K156" s="57" t="str">
        <f>IF(ISNUMBER(I156),IF(I156&gt;=Engagement!$C$40,"Red",IF(I156&gt;=Engagement!$C$41,"Amber","Green")),"")</f>
        <v/>
      </c>
      <c r="L156" s="22"/>
      <c r="M156" s="22"/>
      <c r="N156" s="22"/>
      <c r="O156" s="22"/>
      <c r="P156" s="19" t="s">
        <v>1749</v>
      </c>
      <c r="Q156" s="19" t="s">
        <v>1750</v>
      </c>
    </row>
    <row r="157" spans="1:17" ht="28" x14ac:dyDescent="0.15">
      <c r="A157" s="19" t="s">
        <v>1751</v>
      </c>
      <c r="B157" s="19" t="s">
        <v>288</v>
      </c>
      <c r="C157" s="19" t="s">
        <v>1752</v>
      </c>
      <c r="D157" s="19" t="s">
        <v>1753</v>
      </c>
      <c r="E157" s="19" t="s">
        <v>1754</v>
      </c>
      <c r="F157" s="44">
        <v>2</v>
      </c>
      <c r="G157" s="44"/>
      <c r="H157" s="55">
        <f>Engagement!$C$39</f>
        <v>3</v>
      </c>
      <c r="I157" s="56" t="str">
        <f t="shared" si="28"/>
        <v/>
      </c>
      <c r="J157" s="52" t="str">
        <f t="shared" si="29"/>
        <v/>
      </c>
      <c r="K157" s="57" t="str">
        <f>IF(ISNUMBER(I157),IF(I157&gt;=Engagement!$C$40,"Red",IF(I157&gt;=Engagement!$C$41,"Amber","Green")),"")</f>
        <v/>
      </c>
      <c r="L157" s="22"/>
      <c r="M157" s="22"/>
      <c r="N157" s="22"/>
      <c r="O157" s="22"/>
      <c r="P157" s="19" t="s">
        <v>1755</v>
      </c>
      <c r="Q157" s="19" t="s">
        <v>1756</v>
      </c>
    </row>
    <row r="158" spans="1:17" ht="28" x14ac:dyDescent="0.15">
      <c r="A158" s="19" t="s">
        <v>1757</v>
      </c>
      <c r="B158" s="19" t="s">
        <v>288</v>
      </c>
      <c r="C158" s="19" t="s">
        <v>1758</v>
      </c>
      <c r="D158" s="19" t="s">
        <v>1759</v>
      </c>
      <c r="E158" s="19" t="s">
        <v>1760</v>
      </c>
      <c r="F158" s="44">
        <v>2</v>
      </c>
      <c r="G158" s="44"/>
      <c r="H158" s="55">
        <f>Engagement!$C$39</f>
        <v>3</v>
      </c>
      <c r="I158" s="56" t="str">
        <f t="shared" si="28"/>
        <v/>
      </c>
      <c r="J158" s="52" t="str">
        <f t="shared" si="29"/>
        <v/>
      </c>
      <c r="K158" s="57" t="str">
        <f>IF(ISNUMBER(I158),IF(I158&gt;=Engagement!$C$40,"Red",IF(I158&gt;=Engagement!$C$41,"Amber","Green")),"")</f>
        <v/>
      </c>
      <c r="L158" s="22"/>
      <c r="M158" s="22"/>
      <c r="N158" s="22"/>
      <c r="O158" s="22"/>
      <c r="P158" s="19" t="s">
        <v>1761</v>
      </c>
      <c r="Q158" s="19" t="s">
        <v>1762</v>
      </c>
    </row>
    <row r="159" spans="1:17" ht="18" customHeight="1" x14ac:dyDescent="0.15">
      <c r="A159" s="16" t="s">
        <v>1763</v>
      </c>
      <c r="B159" s="53"/>
      <c r="C159" s="53"/>
      <c r="D159" s="54" t="s">
        <v>296</v>
      </c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</row>
    <row r="160" spans="1:17" ht="28" x14ac:dyDescent="0.15">
      <c r="A160" s="19" t="s">
        <v>1764</v>
      </c>
      <c r="B160" s="19" t="s">
        <v>295</v>
      </c>
      <c r="C160" s="19" t="s">
        <v>1765</v>
      </c>
      <c r="D160" s="19" t="s">
        <v>1766</v>
      </c>
      <c r="E160" s="19" t="s">
        <v>1767</v>
      </c>
      <c r="F160" s="44">
        <v>2</v>
      </c>
      <c r="G160" s="44"/>
      <c r="H160" s="55">
        <f>Engagement!$C$39</f>
        <v>3</v>
      </c>
      <c r="I160" s="56" t="str">
        <f t="shared" ref="I160:I168" si="30">IF(AND(ISNUMBER(G160),ISNUMBER(H160)),H160-G160,"")</f>
        <v/>
      </c>
      <c r="J160" s="52" t="str">
        <f t="shared" ref="J160:J168" si="31">IF(AND(ISNUMBER(I160),ISNUMBER(F160)),MAX(0,I160)*F160,"")</f>
        <v/>
      </c>
      <c r="K160" s="57" t="str">
        <f>IF(ISNUMBER(I160),IF(I160&gt;=Engagement!$C$40,"Red",IF(I160&gt;=Engagement!$C$41,"Amber","Green")),"")</f>
        <v/>
      </c>
      <c r="L160" s="22"/>
      <c r="M160" s="22"/>
      <c r="N160" s="22"/>
      <c r="O160" s="22"/>
      <c r="P160" s="19" t="s">
        <v>1768</v>
      </c>
      <c r="Q160" s="19" t="s">
        <v>1769</v>
      </c>
    </row>
    <row r="161" spans="1:17" ht="28" x14ac:dyDescent="0.15">
      <c r="A161" s="19" t="s">
        <v>1770</v>
      </c>
      <c r="B161" s="19" t="s">
        <v>295</v>
      </c>
      <c r="C161" s="19" t="s">
        <v>1771</v>
      </c>
      <c r="D161" s="19" t="s">
        <v>1772</v>
      </c>
      <c r="E161" s="19" t="s">
        <v>1773</v>
      </c>
      <c r="F161" s="44">
        <v>2</v>
      </c>
      <c r="G161" s="44"/>
      <c r="H161" s="55">
        <f>Engagement!$C$39</f>
        <v>3</v>
      </c>
      <c r="I161" s="56" t="str">
        <f t="shared" si="30"/>
        <v/>
      </c>
      <c r="J161" s="52" t="str">
        <f t="shared" si="31"/>
        <v/>
      </c>
      <c r="K161" s="57" t="str">
        <f>IF(ISNUMBER(I161),IF(I161&gt;=Engagement!$C$40,"Red",IF(I161&gt;=Engagement!$C$41,"Amber","Green")),"")</f>
        <v/>
      </c>
      <c r="L161" s="22"/>
      <c r="M161" s="22"/>
      <c r="N161" s="22"/>
      <c r="O161" s="22"/>
      <c r="P161" s="19" t="s">
        <v>1774</v>
      </c>
      <c r="Q161" s="19" t="s">
        <v>1058</v>
      </c>
    </row>
    <row r="162" spans="1:17" ht="28" x14ac:dyDescent="0.15">
      <c r="A162" s="19" t="s">
        <v>1775</v>
      </c>
      <c r="B162" s="19" t="s">
        <v>295</v>
      </c>
      <c r="C162" s="19" t="s">
        <v>1776</v>
      </c>
      <c r="D162" s="19" t="s">
        <v>1777</v>
      </c>
      <c r="E162" s="19" t="s">
        <v>1778</v>
      </c>
      <c r="F162" s="44">
        <v>2</v>
      </c>
      <c r="G162" s="44"/>
      <c r="H162" s="55">
        <f>Engagement!$C$39</f>
        <v>3</v>
      </c>
      <c r="I162" s="56" t="str">
        <f t="shared" si="30"/>
        <v/>
      </c>
      <c r="J162" s="52" t="str">
        <f t="shared" si="31"/>
        <v/>
      </c>
      <c r="K162" s="57" t="str">
        <f>IF(ISNUMBER(I162),IF(I162&gt;=Engagement!$C$40,"Red",IF(I162&gt;=Engagement!$C$41,"Amber","Green")),"")</f>
        <v/>
      </c>
      <c r="L162" s="22"/>
      <c r="M162" s="22"/>
      <c r="N162" s="22"/>
      <c r="O162" s="22"/>
      <c r="P162" s="19" t="s">
        <v>1779</v>
      </c>
      <c r="Q162" s="19" t="s">
        <v>1780</v>
      </c>
    </row>
    <row r="163" spans="1:17" ht="28" x14ac:dyDescent="0.15">
      <c r="A163" s="19" t="s">
        <v>1781</v>
      </c>
      <c r="B163" s="19" t="s">
        <v>295</v>
      </c>
      <c r="C163" s="19" t="s">
        <v>1782</v>
      </c>
      <c r="D163" s="19" t="s">
        <v>1783</v>
      </c>
      <c r="E163" s="19" t="s">
        <v>1784</v>
      </c>
      <c r="F163" s="44">
        <v>2</v>
      </c>
      <c r="G163" s="44"/>
      <c r="H163" s="55">
        <f>Engagement!$C$39</f>
        <v>3</v>
      </c>
      <c r="I163" s="56" t="str">
        <f t="shared" si="30"/>
        <v/>
      </c>
      <c r="J163" s="52" t="str">
        <f t="shared" si="31"/>
        <v/>
      </c>
      <c r="K163" s="57" t="str">
        <f>IF(ISNUMBER(I163),IF(I163&gt;=Engagement!$C$40,"Red",IF(I163&gt;=Engagement!$C$41,"Amber","Green")),"")</f>
        <v/>
      </c>
      <c r="L163" s="22"/>
      <c r="M163" s="22"/>
      <c r="N163" s="22"/>
      <c r="O163" s="22"/>
      <c r="P163" s="19" t="s">
        <v>1785</v>
      </c>
      <c r="Q163" s="19" t="s">
        <v>1786</v>
      </c>
    </row>
    <row r="164" spans="1:17" ht="42" x14ac:dyDescent="0.15">
      <c r="A164" s="19" t="s">
        <v>1787</v>
      </c>
      <c r="B164" s="19" t="s">
        <v>295</v>
      </c>
      <c r="C164" s="19" t="s">
        <v>1788</v>
      </c>
      <c r="D164" s="19" t="s">
        <v>1789</v>
      </c>
      <c r="E164" s="19" t="s">
        <v>1790</v>
      </c>
      <c r="F164" s="44">
        <v>2</v>
      </c>
      <c r="G164" s="44"/>
      <c r="H164" s="55">
        <f>Engagement!$C$39</f>
        <v>3</v>
      </c>
      <c r="I164" s="56" t="str">
        <f t="shared" si="30"/>
        <v/>
      </c>
      <c r="J164" s="52" t="str">
        <f t="shared" si="31"/>
        <v/>
      </c>
      <c r="K164" s="57" t="str">
        <f>IF(ISNUMBER(I164),IF(I164&gt;=Engagement!$C$40,"Red",IF(I164&gt;=Engagement!$C$41,"Amber","Green")),"")</f>
        <v/>
      </c>
      <c r="L164" s="22"/>
      <c r="M164" s="22"/>
      <c r="N164" s="22"/>
      <c r="O164" s="22"/>
      <c r="P164" s="19" t="s">
        <v>1791</v>
      </c>
      <c r="Q164" s="19" t="s">
        <v>1792</v>
      </c>
    </row>
    <row r="165" spans="1:17" ht="42" x14ac:dyDescent="0.15">
      <c r="A165" s="19" t="s">
        <v>1793</v>
      </c>
      <c r="B165" s="19" t="s">
        <v>295</v>
      </c>
      <c r="C165" s="19" t="s">
        <v>1794</v>
      </c>
      <c r="D165" s="19" t="s">
        <v>1795</v>
      </c>
      <c r="E165" s="19" t="s">
        <v>1796</v>
      </c>
      <c r="F165" s="44">
        <v>2</v>
      </c>
      <c r="G165" s="44"/>
      <c r="H165" s="55">
        <f>Engagement!$C$39</f>
        <v>3</v>
      </c>
      <c r="I165" s="56" t="str">
        <f t="shared" si="30"/>
        <v/>
      </c>
      <c r="J165" s="52" t="str">
        <f t="shared" si="31"/>
        <v/>
      </c>
      <c r="K165" s="57" t="str">
        <f>IF(ISNUMBER(I165),IF(I165&gt;=Engagement!$C$40,"Red",IF(I165&gt;=Engagement!$C$41,"Amber","Green")),"")</f>
        <v/>
      </c>
      <c r="L165" s="22"/>
      <c r="M165" s="22"/>
      <c r="N165" s="22"/>
      <c r="O165" s="22"/>
      <c r="P165" s="19" t="s">
        <v>1797</v>
      </c>
      <c r="Q165" s="19" t="s">
        <v>1798</v>
      </c>
    </row>
    <row r="166" spans="1:17" ht="28" x14ac:dyDescent="0.15">
      <c r="A166" s="19" t="s">
        <v>1799</v>
      </c>
      <c r="B166" s="19" t="s">
        <v>295</v>
      </c>
      <c r="C166" s="19" t="s">
        <v>1800</v>
      </c>
      <c r="D166" s="19" t="s">
        <v>1801</v>
      </c>
      <c r="E166" s="19" t="s">
        <v>1802</v>
      </c>
      <c r="F166" s="44">
        <v>2</v>
      </c>
      <c r="G166" s="44"/>
      <c r="H166" s="55">
        <f>Engagement!$C$39</f>
        <v>3</v>
      </c>
      <c r="I166" s="56" t="str">
        <f t="shared" si="30"/>
        <v/>
      </c>
      <c r="J166" s="52" t="str">
        <f t="shared" si="31"/>
        <v/>
      </c>
      <c r="K166" s="57" t="str">
        <f>IF(ISNUMBER(I166),IF(I166&gt;=Engagement!$C$40,"Red",IF(I166&gt;=Engagement!$C$41,"Amber","Green")),"")</f>
        <v/>
      </c>
      <c r="L166" s="22"/>
      <c r="M166" s="22"/>
      <c r="N166" s="22"/>
      <c r="O166" s="22"/>
      <c r="P166" s="19" t="s">
        <v>1803</v>
      </c>
      <c r="Q166" s="19" t="s">
        <v>1792</v>
      </c>
    </row>
    <row r="167" spans="1:17" ht="28" x14ac:dyDescent="0.15">
      <c r="A167" s="19" t="s">
        <v>1804</v>
      </c>
      <c r="B167" s="19" t="s">
        <v>295</v>
      </c>
      <c r="C167" s="19" t="s">
        <v>1805</v>
      </c>
      <c r="D167" s="19" t="s">
        <v>1806</v>
      </c>
      <c r="E167" s="19" t="s">
        <v>1807</v>
      </c>
      <c r="F167" s="44">
        <v>2</v>
      </c>
      <c r="G167" s="44"/>
      <c r="H167" s="55">
        <f>Engagement!$C$39</f>
        <v>3</v>
      </c>
      <c r="I167" s="56" t="str">
        <f t="shared" si="30"/>
        <v/>
      </c>
      <c r="J167" s="52" t="str">
        <f t="shared" si="31"/>
        <v/>
      </c>
      <c r="K167" s="57" t="str">
        <f>IF(ISNUMBER(I167),IF(I167&gt;=Engagement!$C$40,"Red",IF(I167&gt;=Engagement!$C$41,"Amber","Green")),"")</f>
        <v/>
      </c>
      <c r="L167" s="22"/>
      <c r="M167" s="22"/>
      <c r="N167" s="22"/>
      <c r="O167" s="22"/>
      <c r="P167" s="19" t="s">
        <v>1808</v>
      </c>
      <c r="Q167" s="19" t="s">
        <v>1809</v>
      </c>
    </row>
    <row r="168" spans="1:17" ht="28" x14ac:dyDescent="0.15">
      <c r="A168" s="19" t="s">
        <v>1810</v>
      </c>
      <c r="B168" s="19" t="s">
        <v>295</v>
      </c>
      <c r="C168" s="19" t="s">
        <v>1811</v>
      </c>
      <c r="D168" s="19" t="s">
        <v>1812</v>
      </c>
      <c r="E168" s="19" t="s">
        <v>1813</v>
      </c>
      <c r="F168" s="44">
        <v>2</v>
      </c>
      <c r="G168" s="44"/>
      <c r="H168" s="55">
        <f>Engagement!$C$39</f>
        <v>3</v>
      </c>
      <c r="I168" s="56" t="str">
        <f t="shared" si="30"/>
        <v/>
      </c>
      <c r="J168" s="52" t="str">
        <f t="shared" si="31"/>
        <v/>
      </c>
      <c r="K168" s="57" t="str">
        <f>IF(ISNUMBER(I168),IF(I168&gt;=Engagement!$C$40,"Red",IF(I168&gt;=Engagement!$C$41,"Amber","Green")),"")</f>
        <v/>
      </c>
      <c r="L168" s="22"/>
      <c r="M168" s="22"/>
      <c r="N168" s="22"/>
      <c r="O168" s="22"/>
      <c r="P168" s="19" t="s">
        <v>1814</v>
      </c>
      <c r="Q168" s="19" t="s">
        <v>1815</v>
      </c>
    </row>
    <row r="169" spans="1:17" ht="18" customHeight="1" x14ac:dyDescent="0.15">
      <c r="A169" s="16" t="s">
        <v>1816</v>
      </c>
      <c r="B169" s="53"/>
      <c r="C169" s="53"/>
      <c r="D169" s="54" t="s">
        <v>303</v>
      </c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</row>
    <row r="170" spans="1:17" ht="56" x14ac:dyDescent="0.15">
      <c r="A170" s="19" t="s">
        <v>1817</v>
      </c>
      <c r="B170" s="19" t="s">
        <v>302</v>
      </c>
      <c r="C170" s="19" t="s">
        <v>1818</v>
      </c>
      <c r="D170" s="19" t="s">
        <v>1819</v>
      </c>
      <c r="E170" s="19" t="s">
        <v>1820</v>
      </c>
      <c r="F170" s="44">
        <v>2</v>
      </c>
      <c r="G170" s="44"/>
      <c r="H170" s="55">
        <f>Engagement!$C$39</f>
        <v>3</v>
      </c>
      <c r="I170" s="56" t="str">
        <f t="shared" ref="I170:I179" si="32">IF(AND(ISNUMBER(G170),ISNUMBER(H170)),H170-G170,"")</f>
        <v/>
      </c>
      <c r="J170" s="52" t="str">
        <f t="shared" ref="J170:J179" si="33">IF(AND(ISNUMBER(I170),ISNUMBER(F170)),MAX(0,I170)*F170,"")</f>
        <v/>
      </c>
      <c r="K170" s="57" t="str">
        <f>IF(ISNUMBER(I170),IF(I170&gt;=Engagement!$C$40,"Red",IF(I170&gt;=Engagement!$C$41,"Amber","Green")),"")</f>
        <v/>
      </c>
      <c r="L170" s="22"/>
      <c r="M170" s="22"/>
      <c r="N170" s="22"/>
      <c r="O170" s="22"/>
      <c r="P170" s="19" t="s">
        <v>1821</v>
      </c>
      <c r="Q170" s="19" t="s">
        <v>1822</v>
      </c>
    </row>
    <row r="171" spans="1:17" ht="56" x14ac:dyDescent="0.15">
      <c r="A171" s="19" t="s">
        <v>1823</v>
      </c>
      <c r="B171" s="19" t="s">
        <v>302</v>
      </c>
      <c r="C171" s="19" t="s">
        <v>1824</v>
      </c>
      <c r="D171" s="19" t="s">
        <v>1825</v>
      </c>
      <c r="E171" s="19" t="s">
        <v>1826</v>
      </c>
      <c r="F171" s="44">
        <v>2</v>
      </c>
      <c r="G171" s="44"/>
      <c r="H171" s="55">
        <f>Engagement!$C$39</f>
        <v>3</v>
      </c>
      <c r="I171" s="56" t="str">
        <f t="shared" si="32"/>
        <v/>
      </c>
      <c r="J171" s="52" t="str">
        <f t="shared" si="33"/>
        <v/>
      </c>
      <c r="K171" s="57" t="str">
        <f>IF(ISNUMBER(I171),IF(I171&gt;=Engagement!$C$40,"Red",IF(I171&gt;=Engagement!$C$41,"Amber","Green")),"")</f>
        <v/>
      </c>
      <c r="L171" s="22"/>
      <c r="M171" s="22"/>
      <c r="N171" s="22"/>
      <c r="O171" s="22"/>
      <c r="P171" s="19" t="s">
        <v>1827</v>
      </c>
      <c r="Q171" s="19" t="s">
        <v>1828</v>
      </c>
    </row>
    <row r="172" spans="1:17" ht="56" x14ac:dyDescent="0.15">
      <c r="A172" s="19" t="s">
        <v>1829</v>
      </c>
      <c r="B172" s="19" t="s">
        <v>302</v>
      </c>
      <c r="C172" s="19" t="s">
        <v>1830</v>
      </c>
      <c r="D172" s="19" t="s">
        <v>1831</v>
      </c>
      <c r="E172" s="19" t="s">
        <v>1832</v>
      </c>
      <c r="F172" s="44">
        <v>2</v>
      </c>
      <c r="G172" s="44"/>
      <c r="H172" s="55">
        <f>Engagement!$C$39</f>
        <v>3</v>
      </c>
      <c r="I172" s="56" t="str">
        <f t="shared" si="32"/>
        <v/>
      </c>
      <c r="J172" s="52" t="str">
        <f t="shared" si="33"/>
        <v/>
      </c>
      <c r="K172" s="57" t="str">
        <f>IF(ISNUMBER(I172),IF(I172&gt;=Engagement!$C$40,"Red",IF(I172&gt;=Engagement!$C$41,"Amber","Green")),"")</f>
        <v/>
      </c>
      <c r="L172" s="22"/>
      <c r="M172" s="22"/>
      <c r="N172" s="22"/>
      <c r="O172" s="22"/>
      <c r="P172" s="19" t="s">
        <v>1833</v>
      </c>
      <c r="Q172" s="19" t="s">
        <v>1834</v>
      </c>
    </row>
    <row r="173" spans="1:17" ht="56" x14ac:dyDescent="0.15">
      <c r="A173" s="19" t="s">
        <v>1835</v>
      </c>
      <c r="B173" s="19" t="s">
        <v>302</v>
      </c>
      <c r="C173" s="19" t="s">
        <v>1836</v>
      </c>
      <c r="D173" s="19" t="s">
        <v>1837</v>
      </c>
      <c r="E173" s="19" t="s">
        <v>1838</v>
      </c>
      <c r="F173" s="44">
        <v>2</v>
      </c>
      <c r="G173" s="44"/>
      <c r="H173" s="55">
        <f>Engagement!$C$39</f>
        <v>3</v>
      </c>
      <c r="I173" s="56" t="str">
        <f t="shared" si="32"/>
        <v/>
      </c>
      <c r="J173" s="52" t="str">
        <f t="shared" si="33"/>
        <v/>
      </c>
      <c r="K173" s="57" t="str">
        <f>IF(ISNUMBER(I173),IF(I173&gt;=Engagement!$C$40,"Red",IF(I173&gt;=Engagement!$C$41,"Amber","Green")),"")</f>
        <v/>
      </c>
      <c r="L173" s="22"/>
      <c r="M173" s="22"/>
      <c r="N173" s="22"/>
      <c r="O173" s="22"/>
      <c r="P173" s="19" t="s">
        <v>1839</v>
      </c>
      <c r="Q173" s="19" t="s">
        <v>1840</v>
      </c>
    </row>
    <row r="174" spans="1:17" ht="56" x14ac:dyDescent="0.15">
      <c r="A174" s="19" t="s">
        <v>1841</v>
      </c>
      <c r="B174" s="19" t="s">
        <v>302</v>
      </c>
      <c r="C174" s="19" t="s">
        <v>1842</v>
      </c>
      <c r="D174" s="19" t="s">
        <v>1843</v>
      </c>
      <c r="E174" s="19" t="s">
        <v>1844</v>
      </c>
      <c r="F174" s="44">
        <v>2</v>
      </c>
      <c r="G174" s="44"/>
      <c r="H174" s="55">
        <f>Engagement!$C$39</f>
        <v>3</v>
      </c>
      <c r="I174" s="56" t="str">
        <f t="shared" si="32"/>
        <v/>
      </c>
      <c r="J174" s="52" t="str">
        <f t="shared" si="33"/>
        <v/>
      </c>
      <c r="K174" s="57" t="str">
        <f>IF(ISNUMBER(I174),IF(I174&gt;=Engagement!$C$40,"Red",IF(I174&gt;=Engagement!$C$41,"Amber","Green")),"")</f>
        <v/>
      </c>
      <c r="L174" s="22"/>
      <c r="M174" s="22"/>
      <c r="N174" s="22"/>
      <c r="O174" s="22"/>
      <c r="P174" s="19" t="s">
        <v>1845</v>
      </c>
      <c r="Q174" s="19" t="s">
        <v>1846</v>
      </c>
    </row>
    <row r="175" spans="1:17" ht="56" x14ac:dyDescent="0.15">
      <c r="A175" s="19" t="s">
        <v>1847</v>
      </c>
      <c r="B175" s="19" t="s">
        <v>302</v>
      </c>
      <c r="C175" s="19" t="s">
        <v>1848</v>
      </c>
      <c r="D175" s="19" t="s">
        <v>1849</v>
      </c>
      <c r="E175" s="19" t="s">
        <v>1850</v>
      </c>
      <c r="F175" s="44">
        <v>2</v>
      </c>
      <c r="G175" s="44"/>
      <c r="H175" s="55">
        <f>Engagement!$C$39</f>
        <v>3</v>
      </c>
      <c r="I175" s="56" t="str">
        <f t="shared" si="32"/>
        <v/>
      </c>
      <c r="J175" s="52" t="str">
        <f t="shared" si="33"/>
        <v/>
      </c>
      <c r="K175" s="57" t="str">
        <f>IF(ISNUMBER(I175),IF(I175&gt;=Engagement!$C$40,"Red",IF(I175&gt;=Engagement!$C$41,"Amber","Green")),"")</f>
        <v/>
      </c>
      <c r="L175" s="22"/>
      <c r="M175" s="22"/>
      <c r="N175" s="22"/>
      <c r="O175" s="22"/>
      <c r="P175" s="19" t="s">
        <v>1851</v>
      </c>
      <c r="Q175" s="19" t="s">
        <v>1852</v>
      </c>
    </row>
    <row r="176" spans="1:17" ht="56" x14ac:dyDescent="0.15">
      <c r="A176" s="19" t="s">
        <v>1853</v>
      </c>
      <c r="B176" s="19" t="s">
        <v>302</v>
      </c>
      <c r="C176" s="19" t="s">
        <v>1854</v>
      </c>
      <c r="D176" s="19" t="s">
        <v>1855</v>
      </c>
      <c r="E176" s="19" t="s">
        <v>1856</v>
      </c>
      <c r="F176" s="44">
        <v>2</v>
      </c>
      <c r="G176" s="44"/>
      <c r="H176" s="55">
        <f>Engagement!$C$39</f>
        <v>3</v>
      </c>
      <c r="I176" s="56" t="str">
        <f t="shared" si="32"/>
        <v/>
      </c>
      <c r="J176" s="52" t="str">
        <f t="shared" si="33"/>
        <v/>
      </c>
      <c r="K176" s="57" t="str">
        <f>IF(ISNUMBER(I176),IF(I176&gt;=Engagement!$C$40,"Red",IF(I176&gt;=Engagement!$C$41,"Amber","Green")),"")</f>
        <v/>
      </c>
      <c r="L176" s="22"/>
      <c r="M176" s="22"/>
      <c r="N176" s="22"/>
      <c r="O176" s="22"/>
      <c r="P176" s="19" t="s">
        <v>1857</v>
      </c>
      <c r="Q176" s="19" t="s">
        <v>1858</v>
      </c>
    </row>
    <row r="177" spans="1:17" ht="56" x14ac:dyDescent="0.15">
      <c r="A177" s="19" t="s">
        <v>1859</v>
      </c>
      <c r="B177" s="19" t="s">
        <v>302</v>
      </c>
      <c r="C177" s="19" t="s">
        <v>1860</v>
      </c>
      <c r="D177" s="19" t="s">
        <v>1861</v>
      </c>
      <c r="E177" s="19" t="s">
        <v>1862</v>
      </c>
      <c r="F177" s="44">
        <v>2</v>
      </c>
      <c r="G177" s="44"/>
      <c r="H177" s="55">
        <f>Engagement!$C$39</f>
        <v>3</v>
      </c>
      <c r="I177" s="56" t="str">
        <f t="shared" si="32"/>
        <v/>
      </c>
      <c r="J177" s="52" t="str">
        <f t="shared" si="33"/>
        <v/>
      </c>
      <c r="K177" s="57" t="str">
        <f>IF(ISNUMBER(I177),IF(I177&gt;=Engagement!$C$40,"Red",IF(I177&gt;=Engagement!$C$41,"Amber","Green")),"")</f>
        <v/>
      </c>
      <c r="L177" s="22"/>
      <c r="M177" s="22"/>
      <c r="N177" s="22"/>
      <c r="O177" s="22"/>
      <c r="P177" s="19" t="s">
        <v>1863</v>
      </c>
      <c r="Q177" s="19" t="s">
        <v>1864</v>
      </c>
    </row>
    <row r="178" spans="1:17" ht="56" x14ac:dyDescent="0.15">
      <c r="A178" s="19" t="s">
        <v>1865</v>
      </c>
      <c r="B178" s="19" t="s">
        <v>302</v>
      </c>
      <c r="C178" s="19" t="s">
        <v>1866</v>
      </c>
      <c r="D178" s="19" t="s">
        <v>1867</v>
      </c>
      <c r="E178" s="19" t="s">
        <v>1868</v>
      </c>
      <c r="F178" s="44">
        <v>2</v>
      </c>
      <c r="G178" s="44"/>
      <c r="H178" s="55">
        <f>Engagement!$C$39</f>
        <v>3</v>
      </c>
      <c r="I178" s="56" t="str">
        <f t="shared" si="32"/>
        <v/>
      </c>
      <c r="J178" s="52" t="str">
        <f t="shared" si="33"/>
        <v/>
      </c>
      <c r="K178" s="57" t="str">
        <f>IF(ISNUMBER(I178),IF(I178&gt;=Engagement!$C$40,"Red",IF(I178&gt;=Engagement!$C$41,"Amber","Green")),"")</f>
        <v/>
      </c>
      <c r="L178" s="22"/>
      <c r="M178" s="22"/>
      <c r="N178" s="22"/>
      <c r="O178" s="22"/>
      <c r="P178" s="19" t="s">
        <v>1869</v>
      </c>
      <c r="Q178" s="19" t="s">
        <v>1870</v>
      </c>
    </row>
    <row r="179" spans="1:17" ht="56" x14ac:dyDescent="0.15">
      <c r="A179" s="19" t="s">
        <v>1871</v>
      </c>
      <c r="B179" s="19" t="s">
        <v>302</v>
      </c>
      <c r="C179" s="19" t="s">
        <v>1872</v>
      </c>
      <c r="D179" s="19" t="s">
        <v>1873</v>
      </c>
      <c r="E179" s="19" t="s">
        <v>1874</v>
      </c>
      <c r="F179" s="44">
        <v>2</v>
      </c>
      <c r="G179" s="44"/>
      <c r="H179" s="55">
        <f>Engagement!$C$39</f>
        <v>3</v>
      </c>
      <c r="I179" s="56" t="str">
        <f t="shared" si="32"/>
        <v/>
      </c>
      <c r="J179" s="52" t="str">
        <f t="shared" si="33"/>
        <v/>
      </c>
      <c r="K179" s="57" t="str">
        <f>IF(ISNUMBER(I179),IF(I179&gt;=Engagement!$C$40,"Red",IF(I179&gt;=Engagement!$C$41,"Amber","Green")),"")</f>
        <v/>
      </c>
      <c r="L179" s="22"/>
      <c r="M179" s="22"/>
      <c r="N179" s="22"/>
      <c r="O179" s="22"/>
      <c r="P179" s="19" t="s">
        <v>1875</v>
      </c>
      <c r="Q179" s="19" t="s">
        <v>894</v>
      </c>
    </row>
  </sheetData>
  <autoFilter ref="A5:Q179" xr:uid="{00000000-0009-0000-0000-000007000000}"/>
  <conditionalFormatting sqref="G6:G179">
    <cfRule type="colorScale" priority="5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K6:K179">
    <cfRule type="cellIs" dxfId="55" priority="2" operator="equal">
      <formula>"Red"</formula>
    </cfRule>
    <cfRule type="cellIs" dxfId="54" priority="3" operator="equal">
      <formula>"Amber"</formula>
    </cfRule>
    <cfRule type="cellIs" dxfId="53" priority="4" operator="equal">
      <formula>"Green"</formula>
    </cfRule>
  </conditionalFormatting>
  <pageMargins left="0.4" right="0.4" top="0.5" bottom="0.5" header="0.511811023622047" footer="0.5"/>
  <pageSetup paperSize="9" fitToHeight="0" orientation="landscape" horizontalDpi="300" verticalDpi="300"/>
  <headerFooter>
    <oddFooter>&amp;L&amp;8 CTO Consulting | Operating Model Assessment Toolkit&amp;R&amp;8 &amp;A | Page &amp;P of &amp;N</oddFoot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 entry" error="Please select a value from the list (values are maintained on the Lists tab)." xr:uid="{00000000-0002-0000-0700-000000000000}">
          <x14:formula1>
            <xm:f>Lists!$C$2:$C$4</xm:f>
          </x14:formula1>
          <x14:formula2>
            <xm:f>0</xm:f>
          </x14:formula2>
          <xm:sqref>F6:F179</xm:sqref>
        </x14:dataValidation>
        <x14:dataValidation type="list" allowBlank="1" showErrorMessage="1" errorTitle="Invalid entry" error="Please select a value from the list (values are maintained on the Lists tab)." xr:uid="{00000000-0002-0000-0700-000001000000}">
          <x14:formula1>
            <xm:f>Lists!$B$2:$B$7</xm:f>
          </x14:formula1>
          <x14:formula2>
            <xm:f>0</xm:f>
          </x14:formula2>
          <xm:sqref>G6:G179</xm:sqref>
        </x14:dataValidation>
        <x14:dataValidation type="list" allowBlank="1" showErrorMessage="1" errorTitle="Invalid entry" error="Please select a value from the list (values are maintained on the Lists tab)." xr:uid="{00000000-0002-0000-0700-000002000000}">
          <x14:formula1>
            <xm:f>Lists!$B$2:$B$6</xm:f>
          </x14:formula1>
          <x14:formula2>
            <xm:f>0</xm:f>
          </x14:formula2>
          <xm:sqref>H6:H179</xm:sqref>
        </x14:dataValidation>
        <x14:dataValidation type="list" allowBlank="1" showErrorMessage="1" errorTitle="Invalid entry" error="Please select a value from the list (values are maintained on the Lists tab)." xr:uid="{00000000-0002-0000-0700-000003000000}">
          <x14:formula1>
            <xm:f>Lists!$D$2:$D$4</xm:f>
          </x14:formula1>
          <x14:formula2>
            <xm:f>0</xm:f>
          </x14:formula2>
          <xm:sqref>L6:L179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75B6"/>
    <pageSetUpPr fitToPage="1"/>
  </sheetPr>
  <dimension ref="A1:O76"/>
  <sheetViews>
    <sheetView showGridLines="0" zoomScale="90" zoomScaleNormal="9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baseColWidth="10" defaultColWidth="8.6640625" defaultRowHeight="13" x14ac:dyDescent="0.15"/>
  <cols>
    <col min="1" max="1" width="7" customWidth="1"/>
    <col min="2" max="2" width="11" customWidth="1"/>
    <col min="3" max="4" width="28" customWidth="1"/>
    <col min="5" max="5" width="36" customWidth="1"/>
    <col min="6" max="6" width="12" customWidth="1"/>
    <col min="7" max="7" width="15" customWidth="1"/>
    <col min="8" max="9" width="11" customWidth="1"/>
    <col min="10" max="10" width="8" customWidth="1"/>
    <col min="11" max="11" width="10" customWidth="1"/>
    <col min="12" max="12" width="18" customWidth="1"/>
    <col min="13" max="13" width="22" customWidth="1"/>
    <col min="14" max="14" width="14" customWidth="1"/>
    <col min="15" max="15" width="36" customWidth="1"/>
  </cols>
  <sheetData>
    <row r="1" spans="1:15" ht="27.75" customHeight="1" x14ac:dyDescent="0.15">
      <c r="A1" s="33" t="s">
        <v>1876</v>
      </c>
    </row>
    <row r="2" spans="1:15" x14ac:dyDescent="0.15">
      <c r="A2" s="34" t="s">
        <v>1877</v>
      </c>
    </row>
    <row r="3" spans="1:15" x14ac:dyDescent="0.15">
      <c r="A3" s="38" t="s">
        <v>423</v>
      </c>
    </row>
    <row r="5" spans="1:15" ht="43.5" customHeight="1" x14ac:dyDescent="0.15">
      <c r="A5" s="20" t="s">
        <v>424</v>
      </c>
      <c r="B5" s="20" t="s">
        <v>1878</v>
      </c>
      <c r="C5" s="20" t="s">
        <v>1879</v>
      </c>
      <c r="D5" s="20" t="s">
        <v>1880</v>
      </c>
      <c r="E5" s="20" t="s">
        <v>1881</v>
      </c>
      <c r="F5" s="20" t="s">
        <v>1163</v>
      </c>
      <c r="G5" s="20" t="s">
        <v>1882</v>
      </c>
      <c r="H5" s="20" t="s">
        <v>1883</v>
      </c>
      <c r="I5" s="20" t="s">
        <v>926</v>
      </c>
      <c r="J5" s="20" t="s">
        <v>927</v>
      </c>
      <c r="K5" s="20" t="s">
        <v>1884</v>
      </c>
      <c r="L5" s="20" t="s">
        <v>1885</v>
      </c>
      <c r="M5" s="20" t="s">
        <v>1886</v>
      </c>
      <c r="N5" s="20" t="s">
        <v>1887</v>
      </c>
      <c r="O5" s="20" t="s">
        <v>1888</v>
      </c>
    </row>
    <row r="6" spans="1:15" ht="28" x14ac:dyDescent="0.15">
      <c r="A6" s="43" t="s">
        <v>1889</v>
      </c>
      <c r="B6" s="58" t="s">
        <v>1890</v>
      </c>
      <c r="C6" s="26" t="s">
        <v>1891</v>
      </c>
      <c r="D6" s="19" t="s">
        <v>1892</v>
      </c>
      <c r="E6" s="19" t="s">
        <v>1893</v>
      </c>
      <c r="F6" s="44"/>
      <c r="G6" s="44"/>
      <c r="H6" s="44"/>
      <c r="I6" s="44"/>
      <c r="J6" s="56" t="str">
        <f t="shared" ref="J6:J37" si="0">IF(AND(ISNUMBER(H6),ISNUMBER(I6)),I6-H6,"")</f>
        <v/>
      </c>
      <c r="K6" s="52" t="str">
        <f>IFERROR(IF(AND(ISNUMBER(J6),F6&lt;&gt;""),MAX(0,J6)*INDEX(Lists!$AJ$2:$AJ$4,MATCH(F6,Lists!$AI$2:$AI$4,0)),""),"")</f>
        <v/>
      </c>
      <c r="L6" s="22"/>
      <c r="M6" s="22"/>
      <c r="N6" s="22"/>
      <c r="O6" s="22"/>
    </row>
    <row r="7" spans="1:15" ht="28" x14ac:dyDescent="0.15">
      <c r="A7" s="43" t="s">
        <v>1894</v>
      </c>
      <c r="B7" s="58" t="s">
        <v>1890</v>
      </c>
      <c r="C7" s="26" t="s">
        <v>1891</v>
      </c>
      <c r="D7" s="19" t="s">
        <v>1895</v>
      </c>
      <c r="E7" s="19" t="s">
        <v>1896</v>
      </c>
      <c r="F7" s="44"/>
      <c r="G7" s="44"/>
      <c r="H7" s="44"/>
      <c r="I7" s="44"/>
      <c r="J7" s="56" t="str">
        <f t="shared" si="0"/>
        <v/>
      </c>
      <c r="K7" s="52" t="str">
        <f>IFERROR(IF(AND(ISNUMBER(J7),F7&lt;&gt;""),MAX(0,J7)*INDEX(Lists!$AJ$2:$AJ$4,MATCH(F7,Lists!$AI$2:$AI$4,0)),""),"")</f>
        <v/>
      </c>
      <c r="L7" s="22"/>
      <c r="M7" s="22"/>
      <c r="N7" s="22"/>
      <c r="O7" s="22"/>
    </row>
    <row r="8" spans="1:15" ht="28" x14ac:dyDescent="0.15">
      <c r="A8" s="43" t="s">
        <v>1897</v>
      </c>
      <c r="B8" s="58" t="s">
        <v>1890</v>
      </c>
      <c r="C8" s="26" t="s">
        <v>1891</v>
      </c>
      <c r="D8" s="19" t="s">
        <v>1898</v>
      </c>
      <c r="E8" s="19" t="s">
        <v>1899</v>
      </c>
      <c r="F8" s="44"/>
      <c r="G8" s="44"/>
      <c r="H8" s="44"/>
      <c r="I8" s="44"/>
      <c r="J8" s="56" t="str">
        <f t="shared" si="0"/>
        <v/>
      </c>
      <c r="K8" s="52" t="str">
        <f>IFERROR(IF(AND(ISNUMBER(J8),F8&lt;&gt;""),MAX(0,J8)*INDEX(Lists!$AJ$2:$AJ$4,MATCH(F8,Lists!$AI$2:$AI$4,0)),""),"")</f>
        <v/>
      </c>
      <c r="L8" s="22"/>
      <c r="M8" s="22"/>
      <c r="N8" s="22"/>
      <c r="O8" s="22"/>
    </row>
    <row r="9" spans="1:15" ht="28" x14ac:dyDescent="0.15">
      <c r="A9" s="43" t="s">
        <v>1900</v>
      </c>
      <c r="B9" s="58" t="s">
        <v>1890</v>
      </c>
      <c r="C9" s="26" t="s">
        <v>1891</v>
      </c>
      <c r="D9" s="19" t="s">
        <v>1901</v>
      </c>
      <c r="E9" s="19" t="s">
        <v>1902</v>
      </c>
      <c r="F9" s="44"/>
      <c r="G9" s="44"/>
      <c r="H9" s="44"/>
      <c r="I9" s="44"/>
      <c r="J9" s="56" t="str">
        <f t="shared" si="0"/>
        <v/>
      </c>
      <c r="K9" s="52" t="str">
        <f>IFERROR(IF(AND(ISNUMBER(J9),F9&lt;&gt;""),MAX(0,J9)*INDEX(Lists!$AJ$2:$AJ$4,MATCH(F9,Lists!$AI$2:$AI$4,0)),""),"")</f>
        <v/>
      </c>
      <c r="L9" s="22"/>
      <c r="M9" s="22"/>
      <c r="N9" s="22"/>
      <c r="O9" s="22"/>
    </row>
    <row r="10" spans="1:15" ht="28" x14ac:dyDescent="0.15">
      <c r="A10" s="43" t="s">
        <v>1903</v>
      </c>
      <c r="B10" s="58" t="s">
        <v>1890</v>
      </c>
      <c r="C10" s="26" t="s">
        <v>1904</v>
      </c>
      <c r="D10" s="19" t="s">
        <v>1905</v>
      </c>
      <c r="E10" s="19" t="s">
        <v>1906</v>
      </c>
      <c r="F10" s="44"/>
      <c r="G10" s="44"/>
      <c r="H10" s="44"/>
      <c r="I10" s="44"/>
      <c r="J10" s="56" t="str">
        <f t="shared" si="0"/>
        <v/>
      </c>
      <c r="K10" s="52" t="str">
        <f>IFERROR(IF(AND(ISNUMBER(J10),F10&lt;&gt;""),MAX(0,J10)*INDEX(Lists!$AJ$2:$AJ$4,MATCH(F10,Lists!$AI$2:$AI$4,0)),""),"")</f>
        <v/>
      </c>
      <c r="L10" s="22"/>
      <c r="M10" s="22"/>
      <c r="N10" s="22"/>
      <c r="O10" s="22"/>
    </row>
    <row r="11" spans="1:15" ht="28" x14ac:dyDescent="0.15">
      <c r="A11" s="43" t="s">
        <v>1907</v>
      </c>
      <c r="B11" s="58" t="s">
        <v>1890</v>
      </c>
      <c r="C11" s="26" t="s">
        <v>1904</v>
      </c>
      <c r="D11" s="19" t="s">
        <v>1908</v>
      </c>
      <c r="E11" s="19" t="s">
        <v>1909</v>
      </c>
      <c r="F11" s="44"/>
      <c r="G11" s="44"/>
      <c r="H11" s="44"/>
      <c r="I11" s="44"/>
      <c r="J11" s="56" t="str">
        <f t="shared" si="0"/>
        <v/>
      </c>
      <c r="K11" s="52" t="str">
        <f>IFERROR(IF(AND(ISNUMBER(J11),F11&lt;&gt;""),MAX(0,J11)*INDEX(Lists!$AJ$2:$AJ$4,MATCH(F11,Lists!$AI$2:$AI$4,0)),""),"")</f>
        <v/>
      </c>
      <c r="L11" s="22"/>
      <c r="M11" s="22"/>
      <c r="N11" s="22"/>
      <c r="O11" s="22"/>
    </row>
    <row r="12" spans="1:15" ht="14" x14ac:dyDescent="0.15">
      <c r="A12" s="43" t="s">
        <v>1910</v>
      </c>
      <c r="B12" s="58" t="s">
        <v>1890</v>
      </c>
      <c r="C12" s="26" t="s">
        <v>1904</v>
      </c>
      <c r="D12" s="19" t="s">
        <v>1716</v>
      </c>
      <c r="E12" s="19" t="s">
        <v>1911</v>
      </c>
      <c r="F12" s="44"/>
      <c r="G12" s="44"/>
      <c r="H12" s="44"/>
      <c r="I12" s="44"/>
      <c r="J12" s="56" t="str">
        <f t="shared" si="0"/>
        <v/>
      </c>
      <c r="K12" s="52" t="str">
        <f>IFERROR(IF(AND(ISNUMBER(J12),F12&lt;&gt;""),MAX(0,J12)*INDEX(Lists!$AJ$2:$AJ$4,MATCH(F12,Lists!$AI$2:$AI$4,0)),""),"")</f>
        <v/>
      </c>
      <c r="L12" s="22"/>
      <c r="M12" s="22"/>
      <c r="N12" s="22"/>
      <c r="O12" s="22"/>
    </row>
    <row r="13" spans="1:15" ht="28" x14ac:dyDescent="0.15">
      <c r="A13" s="43" t="s">
        <v>1912</v>
      </c>
      <c r="B13" s="58" t="s">
        <v>1890</v>
      </c>
      <c r="C13" s="26" t="s">
        <v>1904</v>
      </c>
      <c r="D13" s="19" t="s">
        <v>1746</v>
      </c>
      <c r="E13" s="19" t="s">
        <v>1913</v>
      </c>
      <c r="F13" s="44"/>
      <c r="G13" s="44"/>
      <c r="H13" s="44"/>
      <c r="I13" s="44"/>
      <c r="J13" s="56" t="str">
        <f t="shared" si="0"/>
        <v/>
      </c>
      <c r="K13" s="52" t="str">
        <f>IFERROR(IF(AND(ISNUMBER(J13),F13&lt;&gt;""),MAX(0,J13)*INDEX(Lists!$AJ$2:$AJ$4,MATCH(F13,Lists!$AI$2:$AI$4,0)),""),"")</f>
        <v/>
      </c>
      <c r="L13" s="22"/>
      <c r="M13" s="22"/>
      <c r="N13" s="22"/>
      <c r="O13" s="22"/>
    </row>
    <row r="14" spans="1:15" ht="28" x14ac:dyDescent="0.15">
      <c r="A14" s="43" t="s">
        <v>1914</v>
      </c>
      <c r="B14" s="58" t="s">
        <v>1890</v>
      </c>
      <c r="C14" s="26" t="s">
        <v>1915</v>
      </c>
      <c r="D14" s="19" t="s">
        <v>1818</v>
      </c>
      <c r="E14" s="19" t="s">
        <v>1916</v>
      </c>
      <c r="F14" s="44"/>
      <c r="G14" s="44"/>
      <c r="H14" s="44"/>
      <c r="I14" s="44"/>
      <c r="J14" s="56" t="str">
        <f t="shared" si="0"/>
        <v/>
      </c>
      <c r="K14" s="52" t="str">
        <f>IFERROR(IF(AND(ISNUMBER(J14),F14&lt;&gt;""),MAX(0,J14)*INDEX(Lists!$AJ$2:$AJ$4,MATCH(F14,Lists!$AI$2:$AI$4,0)),""),"")</f>
        <v/>
      </c>
      <c r="L14" s="22"/>
      <c r="M14" s="22"/>
      <c r="N14" s="22"/>
      <c r="O14" s="22"/>
    </row>
    <row r="15" spans="1:15" ht="28" x14ac:dyDescent="0.15">
      <c r="A15" s="43" t="s">
        <v>1917</v>
      </c>
      <c r="B15" s="58" t="s">
        <v>1890</v>
      </c>
      <c r="C15" s="26" t="s">
        <v>1915</v>
      </c>
      <c r="D15" s="19" t="s">
        <v>1918</v>
      </c>
      <c r="E15" s="19" t="s">
        <v>1919</v>
      </c>
      <c r="F15" s="44"/>
      <c r="G15" s="44"/>
      <c r="H15" s="44"/>
      <c r="I15" s="44"/>
      <c r="J15" s="56" t="str">
        <f t="shared" si="0"/>
        <v/>
      </c>
      <c r="K15" s="52" t="str">
        <f>IFERROR(IF(AND(ISNUMBER(J15),F15&lt;&gt;""),MAX(0,J15)*INDEX(Lists!$AJ$2:$AJ$4,MATCH(F15,Lists!$AI$2:$AI$4,0)),""),"")</f>
        <v/>
      </c>
      <c r="L15" s="22"/>
      <c r="M15" s="22"/>
      <c r="N15" s="22"/>
      <c r="O15" s="22"/>
    </row>
    <row r="16" spans="1:15" ht="28" x14ac:dyDescent="0.15">
      <c r="A16" s="43" t="s">
        <v>1920</v>
      </c>
      <c r="B16" s="58" t="s">
        <v>1890</v>
      </c>
      <c r="C16" s="26" t="s">
        <v>1915</v>
      </c>
      <c r="D16" s="19" t="s">
        <v>1921</v>
      </c>
      <c r="E16" s="19" t="s">
        <v>1922</v>
      </c>
      <c r="F16" s="44"/>
      <c r="G16" s="44"/>
      <c r="H16" s="44"/>
      <c r="I16" s="44"/>
      <c r="J16" s="56" t="str">
        <f t="shared" si="0"/>
        <v/>
      </c>
      <c r="K16" s="52" t="str">
        <f>IFERROR(IF(AND(ISNUMBER(J16),F16&lt;&gt;""),MAX(0,J16)*INDEX(Lists!$AJ$2:$AJ$4,MATCH(F16,Lists!$AI$2:$AI$4,0)),""),"")</f>
        <v/>
      </c>
      <c r="L16" s="22"/>
      <c r="M16" s="22"/>
      <c r="N16" s="22"/>
      <c r="O16" s="22"/>
    </row>
    <row r="17" spans="1:15" ht="14" x14ac:dyDescent="0.15">
      <c r="A17" s="43" t="s">
        <v>1923</v>
      </c>
      <c r="B17" s="58" t="s">
        <v>1890</v>
      </c>
      <c r="C17" s="26" t="s">
        <v>1915</v>
      </c>
      <c r="D17" s="19" t="s">
        <v>1842</v>
      </c>
      <c r="E17" s="19" t="s">
        <v>1924</v>
      </c>
      <c r="F17" s="44"/>
      <c r="G17" s="44"/>
      <c r="H17" s="44"/>
      <c r="I17" s="44"/>
      <c r="J17" s="56" t="str">
        <f t="shared" si="0"/>
        <v/>
      </c>
      <c r="K17" s="52" t="str">
        <f>IFERROR(IF(AND(ISNUMBER(J17),F17&lt;&gt;""),MAX(0,J17)*INDEX(Lists!$AJ$2:$AJ$4,MATCH(F17,Lists!$AI$2:$AI$4,0)),""),"")</f>
        <v/>
      </c>
      <c r="L17" s="22"/>
      <c r="M17" s="22"/>
      <c r="N17" s="22"/>
      <c r="O17" s="22"/>
    </row>
    <row r="18" spans="1:15" ht="14" x14ac:dyDescent="0.15">
      <c r="A18" s="43" t="s">
        <v>1925</v>
      </c>
      <c r="B18" s="58" t="s">
        <v>1890</v>
      </c>
      <c r="C18" s="26" t="s">
        <v>1915</v>
      </c>
      <c r="D18" s="19" t="s">
        <v>1926</v>
      </c>
      <c r="E18" s="19" t="s">
        <v>1927</v>
      </c>
      <c r="F18" s="44"/>
      <c r="G18" s="44"/>
      <c r="H18" s="44"/>
      <c r="I18" s="44"/>
      <c r="J18" s="56" t="str">
        <f t="shared" si="0"/>
        <v/>
      </c>
      <c r="K18" s="52" t="str">
        <f>IFERROR(IF(AND(ISNUMBER(J18),F18&lt;&gt;""),MAX(0,J18)*INDEX(Lists!$AJ$2:$AJ$4,MATCH(F18,Lists!$AI$2:$AI$4,0)),""),"")</f>
        <v/>
      </c>
      <c r="L18" s="22"/>
      <c r="M18" s="22"/>
      <c r="N18" s="22"/>
      <c r="O18" s="22"/>
    </row>
    <row r="19" spans="1:15" ht="28" x14ac:dyDescent="0.15">
      <c r="A19" s="43" t="s">
        <v>1928</v>
      </c>
      <c r="B19" s="59" t="s">
        <v>1929</v>
      </c>
      <c r="C19" s="26" t="s">
        <v>1930</v>
      </c>
      <c r="D19" s="19" t="s">
        <v>1931</v>
      </c>
      <c r="E19" s="19" t="s">
        <v>1932</v>
      </c>
      <c r="F19" s="44"/>
      <c r="G19" s="44"/>
      <c r="H19" s="44"/>
      <c r="I19" s="44"/>
      <c r="J19" s="56" t="str">
        <f t="shared" si="0"/>
        <v/>
      </c>
      <c r="K19" s="52" t="str">
        <f>IFERROR(IF(AND(ISNUMBER(J19),F19&lt;&gt;""),MAX(0,J19)*INDEX(Lists!$AJ$2:$AJ$4,MATCH(F19,Lists!$AI$2:$AI$4,0)),""),"")</f>
        <v/>
      </c>
      <c r="L19" s="22"/>
      <c r="M19" s="22"/>
      <c r="N19" s="22"/>
      <c r="O19" s="22"/>
    </row>
    <row r="20" spans="1:15" ht="28" x14ac:dyDescent="0.15">
      <c r="A20" s="43" t="s">
        <v>1933</v>
      </c>
      <c r="B20" s="59" t="s">
        <v>1929</v>
      </c>
      <c r="C20" s="26" t="s">
        <v>1930</v>
      </c>
      <c r="D20" s="19" t="s">
        <v>1934</v>
      </c>
      <c r="E20" s="19" t="s">
        <v>1935</v>
      </c>
      <c r="F20" s="44"/>
      <c r="G20" s="44"/>
      <c r="H20" s="44"/>
      <c r="I20" s="44"/>
      <c r="J20" s="56" t="str">
        <f t="shared" si="0"/>
        <v/>
      </c>
      <c r="K20" s="52" t="str">
        <f>IFERROR(IF(AND(ISNUMBER(J20),F20&lt;&gt;""),MAX(0,J20)*INDEX(Lists!$AJ$2:$AJ$4,MATCH(F20,Lists!$AI$2:$AI$4,0)),""),"")</f>
        <v/>
      </c>
      <c r="L20" s="22"/>
      <c r="M20" s="22"/>
      <c r="N20" s="22"/>
      <c r="O20" s="22"/>
    </row>
    <row r="21" spans="1:15" ht="28" x14ac:dyDescent="0.15">
      <c r="A21" s="43" t="s">
        <v>1936</v>
      </c>
      <c r="B21" s="59" t="s">
        <v>1929</v>
      </c>
      <c r="C21" s="26" t="s">
        <v>1930</v>
      </c>
      <c r="D21" s="19" t="s">
        <v>1937</v>
      </c>
      <c r="E21" s="19" t="s">
        <v>1938</v>
      </c>
      <c r="F21" s="44"/>
      <c r="G21" s="44"/>
      <c r="H21" s="44"/>
      <c r="I21" s="44"/>
      <c r="J21" s="56" t="str">
        <f t="shared" si="0"/>
        <v/>
      </c>
      <c r="K21" s="52" t="str">
        <f>IFERROR(IF(AND(ISNUMBER(J21),F21&lt;&gt;""),MAX(0,J21)*INDEX(Lists!$AJ$2:$AJ$4,MATCH(F21,Lists!$AI$2:$AI$4,0)),""),"")</f>
        <v/>
      </c>
      <c r="L21" s="22"/>
      <c r="M21" s="22"/>
      <c r="N21" s="22"/>
      <c r="O21" s="22"/>
    </row>
    <row r="22" spans="1:15" ht="28" x14ac:dyDescent="0.15">
      <c r="A22" s="43" t="s">
        <v>1939</v>
      </c>
      <c r="B22" s="59" t="s">
        <v>1929</v>
      </c>
      <c r="C22" s="26" t="s">
        <v>1930</v>
      </c>
      <c r="D22" s="19" t="s">
        <v>1940</v>
      </c>
      <c r="E22" s="19" t="s">
        <v>1941</v>
      </c>
      <c r="F22" s="44"/>
      <c r="G22" s="44"/>
      <c r="H22" s="44"/>
      <c r="I22" s="44"/>
      <c r="J22" s="56" t="str">
        <f t="shared" si="0"/>
        <v/>
      </c>
      <c r="K22" s="52" t="str">
        <f>IFERROR(IF(AND(ISNUMBER(J22),F22&lt;&gt;""),MAX(0,J22)*INDEX(Lists!$AJ$2:$AJ$4,MATCH(F22,Lists!$AI$2:$AI$4,0)),""),"")</f>
        <v/>
      </c>
      <c r="L22" s="22"/>
      <c r="M22" s="22"/>
      <c r="N22" s="22"/>
      <c r="O22" s="22"/>
    </row>
    <row r="23" spans="1:15" ht="28" x14ac:dyDescent="0.15">
      <c r="A23" s="43" t="s">
        <v>1942</v>
      </c>
      <c r="B23" s="59" t="s">
        <v>1929</v>
      </c>
      <c r="C23" s="26" t="s">
        <v>1943</v>
      </c>
      <c r="D23" s="19" t="s">
        <v>1944</v>
      </c>
      <c r="E23" s="19" t="s">
        <v>1945</v>
      </c>
      <c r="F23" s="44"/>
      <c r="G23" s="44"/>
      <c r="H23" s="44"/>
      <c r="I23" s="44"/>
      <c r="J23" s="56" t="str">
        <f t="shared" si="0"/>
        <v/>
      </c>
      <c r="K23" s="52" t="str">
        <f>IFERROR(IF(AND(ISNUMBER(J23),F23&lt;&gt;""),MAX(0,J23)*INDEX(Lists!$AJ$2:$AJ$4,MATCH(F23,Lists!$AI$2:$AI$4,0)),""),"")</f>
        <v/>
      </c>
      <c r="L23" s="22"/>
      <c r="M23" s="22"/>
      <c r="N23" s="22"/>
      <c r="O23" s="22"/>
    </row>
    <row r="24" spans="1:15" ht="28" x14ac:dyDescent="0.15">
      <c r="A24" s="43" t="s">
        <v>1946</v>
      </c>
      <c r="B24" s="59" t="s">
        <v>1929</v>
      </c>
      <c r="C24" s="26" t="s">
        <v>1943</v>
      </c>
      <c r="D24" s="19" t="s">
        <v>1947</v>
      </c>
      <c r="E24" s="19" t="s">
        <v>1948</v>
      </c>
      <c r="F24" s="44"/>
      <c r="G24" s="44"/>
      <c r="H24" s="44"/>
      <c r="I24" s="44"/>
      <c r="J24" s="56" t="str">
        <f t="shared" si="0"/>
        <v/>
      </c>
      <c r="K24" s="52" t="str">
        <f>IFERROR(IF(AND(ISNUMBER(J24),F24&lt;&gt;""),MAX(0,J24)*INDEX(Lists!$AJ$2:$AJ$4,MATCH(F24,Lists!$AI$2:$AI$4,0)),""),"")</f>
        <v/>
      </c>
      <c r="L24" s="22"/>
      <c r="M24" s="22"/>
      <c r="N24" s="22"/>
      <c r="O24" s="22"/>
    </row>
    <row r="25" spans="1:15" ht="14" x14ac:dyDescent="0.15">
      <c r="A25" s="43" t="s">
        <v>1949</v>
      </c>
      <c r="B25" s="59" t="s">
        <v>1929</v>
      </c>
      <c r="C25" s="26" t="s">
        <v>1943</v>
      </c>
      <c r="D25" s="19" t="s">
        <v>1950</v>
      </c>
      <c r="E25" s="19" t="s">
        <v>1951</v>
      </c>
      <c r="F25" s="44"/>
      <c r="G25" s="44"/>
      <c r="H25" s="44"/>
      <c r="I25" s="44"/>
      <c r="J25" s="56" t="str">
        <f t="shared" si="0"/>
        <v/>
      </c>
      <c r="K25" s="52" t="str">
        <f>IFERROR(IF(AND(ISNUMBER(J25),F25&lt;&gt;""),MAX(0,J25)*INDEX(Lists!$AJ$2:$AJ$4,MATCH(F25,Lists!$AI$2:$AI$4,0)),""),"")</f>
        <v/>
      </c>
      <c r="L25" s="22"/>
      <c r="M25" s="22"/>
      <c r="N25" s="22"/>
      <c r="O25" s="22"/>
    </row>
    <row r="26" spans="1:15" ht="28" x14ac:dyDescent="0.15">
      <c r="A26" s="43" t="s">
        <v>1952</v>
      </c>
      <c r="B26" s="59" t="s">
        <v>1929</v>
      </c>
      <c r="C26" s="26" t="s">
        <v>1953</v>
      </c>
      <c r="D26" s="19" t="s">
        <v>1954</v>
      </c>
      <c r="E26" s="19" t="s">
        <v>1955</v>
      </c>
      <c r="F26" s="44"/>
      <c r="G26" s="44"/>
      <c r="H26" s="44"/>
      <c r="I26" s="44"/>
      <c r="J26" s="56" t="str">
        <f t="shared" si="0"/>
        <v/>
      </c>
      <c r="K26" s="52" t="str">
        <f>IFERROR(IF(AND(ISNUMBER(J26),F26&lt;&gt;""),MAX(0,J26)*INDEX(Lists!$AJ$2:$AJ$4,MATCH(F26,Lists!$AI$2:$AI$4,0)),""),"")</f>
        <v/>
      </c>
      <c r="L26" s="22"/>
      <c r="M26" s="22"/>
      <c r="N26" s="22"/>
      <c r="O26" s="22"/>
    </row>
    <row r="27" spans="1:15" ht="28" x14ac:dyDescent="0.15">
      <c r="A27" s="43" t="s">
        <v>1956</v>
      </c>
      <c r="B27" s="59" t="s">
        <v>1929</v>
      </c>
      <c r="C27" s="26" t="s">
        <v>1953</v>
      </c>
      <c r="D27" s="19" t="s">
        <v>1957</v>
      </c>
      <c r="E27" s="19" t="s">
        <v>1958</v>
      </c>
      <c r="F27" s="44"/>
      <c r="G27" s="44"/>
      <c r="H27" s="44"/>
      <c r="I27" s="44"/>
      <c r="J27" s="56" t="str">
        <f t="shared" si="0"/>
        <v/>
      </c>
      <c r="K27" s="52" t="str">
        <f>IFERROR(IF(AND(ISNUMBER(J27),F27&lt;&gt;""),MAX(0,J27)*INDEX(Lists!$AJ$2:$AJ$4,MATCH(F27,Lists!$AI$2:$AI$4,0)),""),"")</f>
        <v/>
      </c>
      <c r="L27" s="22"/>
      <c r="M27" s="22"/>
      <c r="N27" s="22"/>
      <c r="O27" s="22"/>
    </row>
    <row r="28" spans="1:15" ht="28" x14ac:dyDescent="0.15">
      <c r="A28" s="43" t="s">
        <v>1959</v>
      </c>
      <c r="B28" s="59" t="s">
        <v>1929</v>
      </c>
      <c r="C28" s="26" t="s">
        <v>1953</v>
      </c>
      <c r="D28" s="19" t="s">
        <v>1960</v>
      </c>
      <c r="E28" s="19" t="s">
        <v>1961</v>
      </c>
      <c r="F28" s="44"/>
      <c r="G28" s="44"/>
      <c r="H28" s="44"/>
      <c r="I28" s="44"/>
      <c r="J28" s="56" t="str">
        <f t="shared" si="0"/>
        <v/>
      </c>
      <c r="K28" s="52" t="str">
        <f>IFERROR(IF(AND(ISNUMBER(J28),F28&lt;&gt;""),MAX(0,J28)*INDEX(Lists!$AJ$2:$AJ$4,MATCH(F28,Lists!$AI$2:$AI$4,0)),""),"")</f>
        <v/>
      </c>
      <c r="L28" s="22"/>
      <c r="M28" s="22"/>
      <c r="N28" s="22"/>
      <c r="O28" s="22"/>
    </row>
    <row r="29" spans="1:15" ht="14" x14ac:dyDescent="0.15">
      <c r="A29" s="43" t="s">
        <v>1962</v>
      </c>
      <c r="B29" s="59" t="s">
        <v>1929</v>
      </c>
      <c r="C29" s="26" t="s">
        <v>1963</v>
      </c>
      <c r="D29" s="19" t="s">
        <v>1964</v>
      </c>
      <c r="E29" s="19" t="s">
        <v>1965</v>
      </c>
      <c r="F29" s="44"/>
      <c r="G29" s="44"/>
      <c r="H29" s="44"/>
      <c r="I29" s="44"/>
      <c r="J29" s="56" t="str">
        <f t="shared" si="0"/>
        <v/>
      </c>
      <c r="K29" s="52" t="str">
        <f>IFERROR(IF(AND(ISNUMBER(J29),F29&lt;&gt;""),MAX(0,J29)*INDEX(Lists!$AJ$2:$AJ$4,MATCH(F29,Lists!$AI$2:$AI$4,0)),""),"")</f>
        <v/>
      </c>
      <c r="L29" s="22"/>
      <c r="M29" s="22"/>
      <c r="N29" s="22"/>
      <c r="O29" s="22"/>
    </row>
    <row r="30" spans="1:15" ht="14" x14ac:dyDescent="0.15">
      <c r="A30" s="43" t="s">
        <v>1966</v>
      </c>
      <c r="B30" s="59" t="s">
        <v>1929</v>
      </c>
      <c r="C30" s="26" t="s">
        <v>1963</v>
      </c>
      <c r="D30" s="19" t="s">
        <v>1967</v>
      </c>
      <c r="E30" s="19" t="s">
        <v>1968</v>
      </c>
      <c r="F30" s="44"/>
      <c r="G30" s="44"/>
      <c r="H30" s="44"/>
      <c r="I30" s="44"/>
      <c r="J30" s="56" t="str">
        <f t="shared" si="0"/>
        <v/>
      </c>
      <c r="K30" s="52" t="str">
        <f>IFERROR(IF(AND(ISNUMBER(J30),F30&lt;&gt;""),MAX(0,J30)*INDEX(Lists!$AJ$2:$AJ$4,MATCH(F30,Lists!$AI$2:$AI$4,0)),""),"")</f>
        <v/>
      </c>
      <c r="L30" s="22"/>
      <c r="M30" s="22"/>
      <c r="N30" s="22"/>
      <c r="O30" s="22"/>
    </row>
    <row r="31" spans="1:15" ht="14" x14ac:dyDescent="0.15">
      <c r="A31" s="43" t="s">
        <v>1969</v>
      </c>
      <c r="B31" s="59" t="s">
        <v>1929</v>
      </c>
      <c r="C31" s="26" t="s">
        <v>1963</v>
      </c>
      <c r="D31" s="19" t="s">
        <v>1970</v>
      </c>
      <c r="E31" s="19" t="s">
        <v>1971</v>
      </c>
      <c r="F31" s="44"/>
      <c r="G31" s="44"/>
      <c r="H31" s="44"/>
      <c r="I31" s="44"/>
      <c r="J31" s="56" t="str">
        <f t="shared" si="0"/>
        <v/>
      </c>
      <c r="K31" s="52" t="str">
        <f>IFERROR(IF(AND(ISNUMBER(J31),F31&lt;&gt;""),MAX(0,J31)*INDEX(Lists!$AJ$2:$AJ$4,MATCH(F31,Lists!$AI$2:$AI$4,0)),""),"")</f>
        <v/>
      </c>
      <c r="L31" s="22"/>
      <c r="M31" s="22"/>
      <c r="N31" s="22"/>
      <c r="O31" s="22"/>
    </row>
    <row r="32" spans="1:15" ht="14" x14ac:dyDescent="0.15">
      <c r="A32" s="43" t="s">
        <v>1972</v>
      </c>
      <c r="B32" s="59" t="s">
        <v>1929</v>
      </c>
      <c r="C32" s="26" t="s">
        <v>1963</v>
      </c>
      <c r="D32" s="19" t="s">
        <v>1973</v>
      </c>
      <c r="E32" s="19" t="s">
        <v>1974</v>
      </c>
      <c r="F32" s="44"/>
      <c r="G32" s="44"/>
      <c r="H32" s="44"/>
      <c r="I32" s="44"/>
      <c r="J32" s="56" t="str">
        <f t="shared" si="0"/>
        <v/>
      </c>
      <c r="K32" s="52" t="str">
        <f>IFERROR(IF(AND(ISNUMBER(J32),F32&lt;&gt;""),MAX(0,J32)*INDEX(Lists!$AJ$2:$AJ$4,MATCH(F32,Lists!$AI$2:$AI$4,0)),""),"")</f>
        <v/>
      </c>
      <c r="L32" s="22"/>
      <c r="M32" s="22"/>
      <c r="N32" s="22"/>
      <c r="O32" s="22"/>
    </row>
    <row r="33" spans="1:15" ht="28" x14ac:dyDescent="0.15">
      <c r="A33" s="43" t="s">
        <v>1975</v>
      </c>
      <c r="B33" s="59" t="s">
        <v>1929</v>
      </c>
      <c r="C33" s="26" t="s">
        <v>1963</v>
      </c>
      <c r="D33" s="19" t="s">
        <v>1976</v>
      </c>
      <c r="E33" s="19" t="s">
        <v>1977</v>
      </c>
      <c r="F33" s="44"/>
      <c r="G33" s="44"/>
      <c r="H33" s="44"/>
      <c r="I33" s="44"/>
      <c r="J33" s="56" t="str">
        <f t="shared" si="0"/>
        <v/>
      </c>
      <c r="K33" s="52" t="str">
        <f>IFERROR(IF(AND(ISNUMBER(J33),F33&lt;&gt;""),MAX(0,J33)*INDEX(Lists!$AJ$2:$AJ$4,MATCH(F33,Lists!$AI$2:$AI$4,0)),""),"")</f>
        <v/>
      </c>
      <c r="L33" s="22"/>
      <c r="M33" s="22"/>
      <c r="N33" s="22"/>
      <c r="O33" s="22"/>
    </row>
    <row r="34" spans="1:15" ht="28" x14ac:dyDescent="0.15">
      <c r="A34" s="43" t="s">
        <v>1978</v>
      </c>
      <c r="B34" s="60" t="s">
        <v>1979</v>
      </c>
      <c r="C34" s="26" t="s">
        <v>751</v>
      </c>
      <c r="D34" s="19" t="s">
        <v>1980</v>
      </c>
      <c r="E34" s="19" t="s">
        <v>1981</v>
      </c>
      <c r="F34" s="44"/>
      <c r="G34" s="44"/>
      <c r="H34" s="44"/>
      <c r="I34" s="44"/>
      <c r="J34" s="56" t="str">
        <f t="shared" si="0"/>
        <v/>
      </c>
      <c r="K34" s="52" t="str">
        <f>IFERROR(IF(AND(ISNUMBER(J34),F34&lt;&gt;""),MAX(0,J34)*INDEX(Lists!$AJ$2:$AJ$4,MATCH(F34,Lists!$AI$2:$AI$4,0)),""),"")</f>
        <v/>
      </c>
      <c r="L34" s="22"/>
      <c r="M34" s="22"/>
      <c r="N34" s="22"/>
      <c r="O34" s="22"/>
    </row>
    <row r="35" spans="1:15" ht="28" x14ac:dyDescent="0.15">
      <c r="A35" s="43" t="s">
        <v>1982</v>
      </c>
      <c r="B35" s="60" t="s">
        <v>1979</v>
      </c>
      <c r="C35" s="26" t="s">
        <v>751</v>
      </c>
      <c r="D35" s="19" t="s">
        <v>1983</v>
      </c>
      <c r="E35" s="19" t="s">
        <v>1984</v>
      </c>
      <c r="F35" s="44"/>
      <c r="G35" s="44"/>
      <c r="H35" s="44"/>
      <c r="I35" s="44"/>
      <c r="J35" s="56" t="str">
        <f t="shared" si="0"/>
        <v/>
      </c>
      <c r="K35" s="52" t="str">
        <f>IFERROR(IF(AND(ISNUMBER(J35),F35&lt;&gt;""),MAX(0,J35)*INDEX(Lists!$AJ$2:$AJ$4,MATCH(F35,Lists!$AI$2:$AI$4,0)),""),"")</f>
        <v/>
      </c>
      <c r="L35" s="22"/>
      <c r="M35" s="22"/>
      <c r="N35" s="22"/>
      <c r="O35" s="22"/>
    </row>
    <row r="36" spans="1:15" ht="28" x14ac:dyDescent="0.15">
      <c r="A36" s="43" t="s">
        <v>1985</v>
      </c>
      <c r="B36" s="60" t="s">
        <v>1979</v>
      </c>
      <c r="C36" s="26" t="s">
        <v>751</v>
      </c>
      <c r="D36" s="19" t="s">
        <v>1986</v>
      </c>
      <c r="E36" s="19" t="s">
        <v>1987</v>
      </c>
      <c r="F36" s="44"/>
      <c r="G36" s="44"/>
      <c r="H36" s="44"/>
      <c r="I36" s="44"/>
      <c r="J36" s="56" t="str">
        <f t="shared" si="0"/>
        <v/>
      </c>
      <c r="K36" s="52" t="str">
        <f>IFERROR(IF(AND(ISNUMBER(J36),F36&lt;&gt;""),MAX(0,J36)*INDEX(Lists!$AJ$2:$AJ$4,MATCH(F36,Lists!$AI$2:$AI$4,0)),""),"")</f>
        <v/>
      </c>
      <c r="L36" s="22"/>
      <c r="M36" s="22"/>
      <c r="N36" s="22"/>
      <c r="O36" s="22"/>
    </row>
    <row r="37" spans="1:15" ht="14" x14ac:dyDescent="0.15">
      <c r="A37" s="43" t="s">
        <v>1988</v>
      </c>
      <c r="B37" s="60" t="s">
        <v>1979</v>
      </c>
      <c r="C37" s="26" t="s">
        <v>751</v>
      </c>
      <c r="D37" s="19" t="s">
        <v>1989</v>
      </c>
      <c r="E37" s="19" t="s">
        <v>1990</v>
      </c>
      <c r="F37" s="44"/>
      <c r="G37" s="44"/>
      <c r="H37" s="44"/>
      <c r="I37" s="44"/>
      <c r="J37" s="56" t="str">
        <f t="shared" si="0"/>
        <v/>
      </c>
      <c r="K37" s="52" t="str">
        <f>IFERROR(IF(AND(ISNUMBER(J37),F37&lt;&gt;""),MAX(0,J37)*INDEX(Lists!$AJ$2:$AJ$4,MATCH(F37,Lists!$AI$2:$AI$4,0)),""),"")</f>
        <v/>
      </c>
      <c r="L37" s="22"/>
      <c r="M37" s="22"/>
      <c r="N37" s="22"/>
      <c r="O37" s="22"/>
    </row>
    <row r="38" spans="1:15" ht="14" x14ac:dyDescent="0.15">
      <c r="A38" s="43" t="s">
        <v>1991</v>
      </c>
      <c r="B38" s="60" t="s">
        <v>1979</v>
      </c>
      <c r="C38" s="26" t="s">
        <v>751</v>
      </c>
      <c r="D38" s="19" t="s">
        <v>1992</v>
      </c>
      <c r="E38" s="19" t="s">
        <v>1993</v>
      </c>
      <c r="F38" s="44"/>
      <c r="G38" s="44"/>
      <c r="H38" s="44"/>
      <c r="I38" s="44"/>
      <c r="J38" s="56" t="str">
        <f t="shared" ref="J38:J69" si="1">IF(AND(ISNUMBER(H38),ISNUMBER(I38)),I38-H38,"")</f>
        <v/>
      </c>
      <c r="K38" s="52" t="str">
        <f>IFERROR(IF(AND(ISNUMBER(J38),F38&lt;&gt;""),MAX(0,J38)*INDEX(Lists!$AJ$2:$AJ$4,MATCH(F38,Lists!$AI$2:$AI$4,0)),""),"")</f>
        <v/>
      </c>
      <c r="L38" s="22"/>
      <c r="M38" s="22"/>
      <c r="N38" s="22"/>
      <c r="O38" s="22"/>
    </row>
    <row r="39" spans="1:15" ht="14" x14ac:dyDescent="0.15">
      <c r="A39" s="43" t="s">
        <v>1994</v>
      </c>
      <c r="B39" s="60" t="s">
        <v>1979</v>
      </c>
      <c r="C39" s="26" t="s">
        <v>1995</v>
      </c>
      <c r="D39" s="19" t="s">
        <v>1313</v>
      </c>
      <c r="E39" s="19" t="s">
        <v>1996</v>
      </c>
      <c r="F39" s="44"/>
      <c r="G39" s="44"/>
      <c r="H39" s="44"/>
      <c r="I39" s="44"/>
      <c r="J39" s="56" t="str">
        <f t="shared" si="1"/>
        <v/>
      </c>
      <c r="K39" s="52" t="str">
        <f>IFERROR(IF(AND(ISNUMBER(J39),F39&lt;&gt;""),MAX(0,J39)*INDEX(Lists!$AJ$2:$AJ$4,MATCH(F39,Lists!$AI$2:$AI$4,0)),""),"")</f>
        <v/>
      </c>
      <c r="L39" s="22"/>
      <c r="M39" s="22"/>
      <c r="N39" s="22"/>
      <c r="O39" s="22"/>
    </row>
    <row r="40" spans="1:15" ht="14" x14ac:dyDescent="0.15">
      <c r="A40" s="43" t="s">
        <v>1997</v>
      </c>
      <c r="B40" s="60" t="s">
        <v>1979</v>
      </c>
      <c r="C40" s="26" t="s">
        <v>1995</v>
      </c>
      <c r="D40" s="19" t="s">
        <v>1998</v>
      </c>
      <c r="E40" s="19" t="s">
        <v>1999</v>
      </c>
      <c r="F40" s="44"/>
      <c r="G40" s="44"/>
      <c r="H40" s="44"/>
      <c r="I40" s="44"/>
      <c r="J40" s="56" t="str">
        <f t="shared" si="1"/>
        <v/>
      </c>
      <c r="K40" s="52" t="str">
        <f>IFERROR(IF(AND(ISNUMBER(J40),F40&lt;&gt;""),MAX(0,J40)*INDEX(Lists!$AJ$2:$AJ$4,MATCH(F40,Lists!$AI$2:$AI$4,0)),""),"")</f>
        <v/>
      </c>
      <c r="L40" s="22"/>
      <c r="M40" s="22"/>
      <c r="N40" s="22"/>
      <c r="O40" s="22"/>
    </row>
    <row r="41" spans="1:15" ht="14" x14ac:dyDescent="0.15">
      <c r="A41" s="43" t="s">
        <v>2000</v>
      </c>
      <c r="B41" s="60" t="s">
        <v>1979</v>
      </c>
      <c r="C41" s="26" t="s">
        <v>1995</v>
      </c>
      <c r="D41" s="19" t="s">
        <v>2001</v>
      </c>
      <c r="E41" s="19" t="s">
        <v>2002</v>
      </c>
      <c r="F41" s="44"/>
      <c r="G41" s="44"/>
      <c r="H41" s="44"/>
      <c r="I41" s="44"/>
      <c r="J41" s="56" t="str">
        <f t="shared" si="1"/>
        <v/>
      </c>
      <c r="K41" s="52" t="str">
        <f>IFERROR(IF(AND(ISNUMBER(J41),F41&lt;&gt;""),MAX(0,J41)*INDEX(Lists!$AJ$2:$AJ$4,MATCH(F41,Lists!$AI$2:$AI$4,0)),""),"")</f>
        <v/>
      </c>
      <c r="L41" s="22"/>
      <c r="M41" s="22"/>
      <c r="N41" s="22"/>
      <c r="O41" s="22"/>
    </row>
    <row r="42" spans="1:15" ht="28" x14ac:dyDescent="0.15">
      <c r="A42" s="43" t="s">
        <v>2003</v>
      </c>
      <c r="B42" s="60" t="s">
        <v>1979</v>
      </c>
      <c r="C42" s="26" t="s">
        <v>1995</v>
      </c>
      <c r="D42" s="19" t="s">
        <v>2004</v>
      </c>
      <c r="E42" s="19" t="s">
        <v>2005</v>
      </c>
      <c r="F42" s="44"/>
      <c r="G42" s="44"/>
      <c r="H42" s="44"/>
      <c r="I42" s="44"/>
      <c r="J42" s="56" t="str">
        <f t="shared" si="1"/>
        <v/>
      </c>
      <c r="K42" s="52" t="str">
        <f>IFERROR(IF(AND(ISNUMBER(J42),F42&lt;&gt;""),MAX(0,J42)*INDEX(Lists!$AJ$2:$AJ$4,MATCH(F42,Lists!$AI$2:$AI$4,0)),""),"")</f>
        <v/>
      </c>
      <c r="L42" s="22"/>
      <c r="M42" s="22"/>
      <c r="N42" s="22"/>
      <c r="O42" s="22"/>
    </row>
    <row r="43" spans="1:15" ht="28" x14ac:dyDescent="0.15">
      <c r="A43" s="43" t="s">
        <v>2006</v>
      </c>
      <c r="B43" s="60" t="s">
        <v>1979</v>
      </c>
      <c r="C43" s="26" t="s">
        <v>1995</v>
      </c>
      <c r="D43" s="19" t="s">
        <v>2007</v>
      </c>
      <c r="E43" s="19" t="s">
        <v>2008</v>
      </c>
      <c r="F43" s="44"/>
      <c r="G43" s="44"/>
      <c r="H43" s="44"/>
      <c r="I43" s="44"/>
      <c r="J43" s="56" t="str">
        <f t="shared" si="1"/>
        <v/>
      </c>
      <c r="K43" s="52" t="str">
        <f>IFERROR(IF(AND(ISNUMBER(J43),F43&lt;&gt;""),MAX(0,J43)*INDEX(Lists!$AJ$2:$AJ$4,MATCH(F43,Lists!$AI$2:$AI$4,0)),""),"")</f>
        <v/>
      </c>
      <c r="L43" s="22"/>
      <c r="M43" s="22"/>
      <c r="N43" s="22"/>
      <c r="O43" s="22"/>
    </row>
    <row r="44" spans="1:15" ht="14" x14ac:dyDescent="0.15">
      <c r="A44" s="43" t="s">
        <v>2009</v>
      </c>
      <c r="B44" s="60" t="s">
        <v>1979</v>
      </c>
      <c r="C44" s="26" t="s">
        <v>1995</v>
      </c>
      <c r="D44" s="19" t="s">
        <v>2010</v>
      </c>
      <c r="E44" s="19" t="s">
        <v>2011</v>
      </c>
      <c r="F44" s="44"/>
      <c r="G44" s="44"/>
      <c r="H44" s="44"/>
      <c r="I44" s="44"/>
      <c r="J44" s="56" t="str">
        <f t="shared" si="1"/>
        <v/>
      </c>
      <c r="K44" s="52" t="str">
        <f>IFERROR(IF(AND(ISNUMBER(J44),F44&lt;&gt;""),MAX(0,J44)*INDEX(Lists!$AJ$2:$AJ$4,MATCH(F44,Lists!$AI$2:$AI$4,0)),""),"")</f>
        <v/>
      </c>
      <c r="L44" s="22"/>
      <c r="M44" s="22"/>
      <c r="N44" s="22"/>
      <c r="O44" s="22"/>
    </row>
    <row r="45" spans="1:15" ht="28" x14ac:dyDescent="0.15">
      <c r="A45" s="43" t="s">
        <v>2012</v>
      </c>
      <c r="B45" s="60" t="s">
        <v>1979</v>
      </c>
      <c r="C45" s="26" t="s">
        <v>2013</v>
      </c>
      <c r="D45" s="19" t="s">
        <v>2014</v>
      </c>
      <c r="E45" s="19" t="s">
        <v>2015</v>
      </c>
      <c r="F45" s="44"/>
      <c r="G45" s="44"/>
      <c r="H45" s="44"/>
      <c r="I45" s="44"/>
      <c r="J45" s="56" t="str">
        <f t="shared" si="1"/>
        <v/>
      </c>
      <c r="K45" s="52" t="str">
        <f>IFERROR(IF(AND(ISNUMBER(J45),F45&lt;&gt;""),MAX(0,J45)*INDEX(Lists!$AJ$2:$AJ$4,MATCH(F45,Lists!$AI$2:$AI$4,0)),""),"")</f>
        <v/>
      </c>
      <c r="L45" s="22"/>
      <c r="M45" s="22"/>
      <c r="N45" s="22"/>
      <c r="O45" s="22"/>
    </row>
    <row r="46" spans="1:15" ht="14" x14ac:dyDescent="0.15">
      <c r="A46" s="43" t="s">
        <v>2016</v>
      </c>
      <c r="B46" s="60" t="s">
        <v>1979</v>
      </c>
      <c r="C46" s="26" t="s">
        <v>2013</v>
      </c>
      <c r="D46" s="19" t="s">
        <v>2017</v>
      </c>
      <c r="E46" s="19" t="s">
        <v>2018</v>
      </c>
      <c r="F46" s="44"/>
      <c r="G46" s="44"/>
      <c r="H46" s="44"/>
      <c r="I46" s="44"/>
      <c r="J46" s="56" t="str">
        <f t="shared" si="1"/>
        <v/>
      </c>
      <c r="K46" s="52" t="str">
        <f>IFERROR(IF(AND(ISNUMBER(J46),F46&lt;&gt;""),MAX(0,J46)*INDEX(Lists!$AJ$2:$AJ$4,MATCH(F46,Lists!$AI$2:$AI$4,0)),""),"")</f>
        <v/>
      </c>
      <c r="L46" s="22"/>
      <c r="M46" s="22"/>
      <c r="N46" s="22"/>
      <c r="O46" s="22"/>
    </row>
    <row r="47" spans="1:15" ht="28" x14ac:dyDescent="0.15">
      <c r="A47" s="43" t="s">
        <v>2019</v>
      </c>
      <c r="B47" s="60" t="s">
        <v>1979</v>
      </c>
      <c r="C47" s="26" t="s">
        <v>2013</v>
      </c>
      <c r="D47" s="19" t="s">
        <v>2020</v>
      </c>
      <c r="E47" s="19" t="s">
        <v>2021</v>
      </c>
      <c r="F47" s="44"/>
      <c r="G47" s="44"/>
      <c r="H47" s="44"/>
      <c r="I47" s="44"/>
      <c r="J47" s="56" t="str">
        <f t="shared" si="1"/>
        <v/>
      </c>
      <c r="K47" s="52" t="str">
        <f>IFERROR(IF(AND(ISNUMBER(J47),F47&lt;&gt;""),MAX(0,J47)*INDEX(Lists!$AJ$2:$AJ$4,MATCH(F47,Lists!$AI$2:$AI$4,0)),""),"")</f>
        <v/>
      </c>
      <c r="L47" s="22"/>
      <c r="M47" s="22"/>
      <c r="N47" s="22"/>
      <c r="O47" s="22"/>
    </row>
    <row r="48" spans="1:15" ht="28" x14ac:dyDescent="0.15">
      <c r="A48" s="43" t="s">
        <v>2022</v>
      </c>
      <c r="B48" s="60" t="s">
        <v>1979</v>
      </c>
      <c r="C48" s="26" t="s">
        <v>2013</v>
      </c>
      <c r="D48" s="19" t="s">
        <v>1519</v>
      </c>
      <c r="E48" s="19" t="s">
        <v>2023</v>
      </c>
      <c r="F48" s="44"/>
      <c r="G48" s="44"/>
      <c r="H48" s="44"/>
      <c r="I48" s="44"/>
      <c r="J48" s="56" t="str">
        <f t="shared" si="1"/>
        <v/>
      </c>
      <c r="K48" s="52" t="str">
        <f>IFERROR(IF(AND(ISNUMBER(J48),F48&lt;&gt;""),MAX(0,J48)*INDEX(Lists!$AJ$2:$AJ$4,MATCH(F48,Lists!$AI$2:$AI$4,0)),""),"")</f>
        <v/>
      </c>
      <c r="L48" s="22"/>
      <c r="M48" s="22"/>
      <c r="N48" s="22"/>
      <c r="O48" s="22"/>
    </row>
    <row r="49" spans="1:15" ht="28" x14ac:dyDescent="0.15">
      <c r="A49" s="43" t="s">
        <v>2024</v>
      </c>
      <c r="B49" s="60" t="s">
        <v>1979</v>
      </c>
      <c r="C49" s="26" t="s">
        <v>2013</v>
      </c>
      <c r="D49" s="19" t="s">
        <v>1728</v>
      </c>
      <c r="E49" s="19" t="s">
        <v>2025</v>
      </c>
      <c r="F49" s="44"/>
      <c r="G49" s="44"/>
      <c r="H49" s="44"/>
      <c r="I49" s="44"/>
      <c r="J49" s="56" t="str">
        <f t="shared" si="1"/>
        <v/>
      </c>
      <c r="K49" s="52" t="str">
        <f>IFERROR(IF(AND(ISNUMBER(J49),F49&lt;&gt;""),MAX(0,J49)*INDEX(Lists!$AJ$2:$AJ$4,MATCH(F49,Lists!$AI$2:$AI$4,0)),""),"")</f>
        <v/>
      </c>
      <c r="L49" s="22"/>
      <c r="M49" s="22"/>
      <c r="N49" s="22"/>
      <c r="O49" s="22"/>
    </row>
    <row r="50" spans="1:15" ht="28" x14ac:dyDescent="0.15">
      <c r="A50" s="43" t="s">
        <v>2026</v>
      </c>
      <c r="B50" s="60" t="s">
        <v>1979</v>
      </c>
      <c r="C50" s="26" t="s">
        <v>2013</v>
      </c>
      <c r="D50" s="19" t="s">
        <v>1524</v>
      </c>
      <c r="E50" s="19" t="s">
        <v>2027</v>
      </c>
      <c r="F50" s="44"/>
      <c r="G50" s="44"/>
      <c r="H50" s="44"/>
      <c r="I50" s="44"/>
      <c r="J50" s="56" t="str">
        <f t="shared" si="1"/>
        <v/>
      </c>
      <c r="K50" s="52" t="str">
        <f>IFERROR(IF(AND(ISNUMBER(J50),F50&lt;&gt;""),MAX(0,J50)*INDEX(Lists!$AJ$2:$AJ$4,MATCH(F50,Lists!$AI$2:$AI$4,0)),""),"")</f>
        <v/>
      </c>
      <c r="L50" s="22"/>
      <c r="M50" s="22"/>
      <c r="N50" s="22"/>
      <c r="O50" s="22"/>
    </row>
    <row r="51" spans="1:15" ht="28" x14ac:dyDescent="0.15">
      <c r="A51" s="43" t="s">
        <v>2028</v>
      </c>
      <c r="B51" s="60" t="s">
        <v>1979</v>
      </c>
      <c r="C51" s="26" t="s">
        <v>2029</v>
      </c>
      <c r="D51" s="19" t="s">
        <v>1548</v>
      </c>
      <c r="E51" s="19" t="s">
        <v>2030</v>
      </c>
      <c r="F51" s="44"/>
      <c r="G51" s="44"/>
      <c r="H51" s="44"/>
      <c r="I51" s="44"/>
      <c r="J51" s="56" t="str">
        <f t="shared" si="1"/>
        <v/>
      </c>
      <c r="K51" s="52" t="str">
        <f>IFERROR(IF(AND(ISNUMBER(J51),F51&lt;&gt;""),MAX(0,J51)*INDEX(Lists!$AJ$2:$AJ$4,MATCH(F51,Lists!$AI$2:$AI$4,0)),""),"")</f>
        <v/>
      </c>
      <c r="L51" s="22"/>
      <c r="M51" s="22"/>
      <c r="N51" s="22"/>
      <c r="O51" s="22"/>
    </row>
    <row r="52" spans="1:15" ht="14" x14ac:dyDescent="0.15">
      <c r="A52" s="43" t="s">
        <v>2031</v>
      </c>
      <c r="B52" s="60" t="s">
        <v>1979</v>
      </c>
      <c r="C52" s="26" t="s">
        <v>2029</v>
      </c>
      <c r="D52" s="19" t="s">
        <v>2032</v>
      </c>
      <c r="E52" s="19" t="s">
        <v>2033</v>
      </c>
      <c r="F52" s="44"/>
      <c r="G52" s="44"/>
      <c r="H52" s="44"/>
      <c r="I52" s="44"/>
      <c r="J52" s="56" t="str">
        <f t="shared" si="1"/>
        <v/>
      </c>
      <c r="K52" s="52" t="str">
        <f>IFERROR(IF(AND(ISNUMBER(J52),F52&lt;&gt;""),MAX(0,J52)*INDEX(Lists!$AJ$2:$AJ$4,MATCH(F52,Lists!$AI$2:$AI$4,0)),""),"")</f>
        <v/>
      </c>
      <c r="L52" s="22"/>
      <c r="M52" s="22"/>
      <c r="N52" s="22"/>
      <c r="O52" s="22"/>
    </row>
    <row r="53" spans="1:15" ht="14" x14ac:dyDescent="0.15">
      <c r="A53" s="43" t="s">
        <v>2034</v>
      </c>
      <c r="B53" s="60" t="s">
        <v>1979</v>
      </c>
      <c r="C53" s="26" t="s">
        <v>2029</v>
      </c>
      <c r="D53" s="19" t="s">
        <v>2035</v>
      </c>
      <c r="E53" s="19" t="s">
        <v>2036</v>
      </c>
      <c r="F53" s="44"/>
      <c r="G53" s="44"/>
      <c r="H53" s="44"/>
      <c r="I53" s="44"/>
      <c r="J53" s="56" t="str">
        <f t="shared" si="1"/>
        <v/>
      </c>
      <c r="K53" s="52" t="str">
        <f>IFERROR(IF(AND(ISNUMBER(J53),F53&lt;&gt;""),MAX(0,J53)*INDEX(Lists!$AJ$2:$AJ$4,MATCH(F53,Lists!$AI$2:$AI$4,0)),""),"")</f>
        <v/>
      </c>
      <c r="L53" s="22"/>
      <c r="M53" s="22"/>
      <c r="N53" s="22"/>
      <c r="O53" s="22"/>
    </row>
    <row r="54" spans="1:15" ht="28" x14ac:dyDescent="0.15">
      <c r="A54" s="43" t="s">
        <v>2037</v>
      </c>
      <c r="B54" s="60" t="s">
        <v>1979</v>
      </c>
      <c r="C54" s="26" t="s">
        <v>2029</v>
      </c>
      <c r="D54" s="19" t="s">
        <v>2038</v>
      </c>
      <c r="E54" s="19" t="s">
        <v>2039</v>
      </c>
      <c r="F54" s="44"/>
      <c r="G54" s="44"/>
      <c r="H54" s="44"/>
      <c r="I54" s="44"/>
      <c r="J54" s="56" t="str">
        <f t="shared" si="1"/>
        <v/>
      </c>
      <c r="K54" s="52" t="str">
        <f>IFERROR(IF(AND(ISNUMBER(J54),F54&lt;&gt;""),MAX(0,J54)*INDEX(Lists!$AJ$2:$AJ$4,MATCH(F54,Lists!$AI$2:$AI$4,0)),""),"")</f>
        <v/>
      </c>
      <c r="L54" s="22"/>
      <c r="M54" s="22"/>
      <c r="N54" s="22"/>
      <c r="O54" s="22"/>
    </row>
    <row r="55" spans="1:15" ht="14" x14ac:dyDescent="0.15">
      <c r="A55" s="43" t="s">
        <v>2040</v>
      </c>
      <c r="B55" s="60" t="s">
        <v>1979</v>
      </c>
      <c r="C55" s="26" t="s">
        <v>2041</v>
      </c>
      <c r="D55" s="19" t="s">
        <v>2042</v>
      </c>
      <c r="E55" s="19" t="s">
        <v>2043</v>
      </c>
      <c r="F55" s="44"/>
      <c r="G55" s="44"/>
      <c r="H55" s="44"/>
      <c r="I55" s="44"/>
      <c r="J55" s="56" t="str">
        <f t="shared" si="1"/>
        <v/>
      </c>
      <c r="K55" s="52" t="str">
        <f>IFERROR(IF(AND(ISNUMBER(J55),F55&lt;&gt;""),MAX(0,J55)*INDEX(Lists!$AJ$2:$AJ$4,MATCH(F55,Lists!$AI$2:$AI$4,0)),""),"")</f>
        <v/>
      </c>
      <c r="L55" s="22"/>
      <c r="M55" s="22"/>
      <c r="N55" s="22"/>
      <c r="O55" s="22"/>
    </row>
    <row r="56" spans="1:15" ht="28" x14ac:dyDescent="0.15">
      <c r="A56" s="43" t="s">
        <v>2044</v>
      </c>
      <c r="B56" s="60" t="s">
        <v>1979</v>
      </c>
      <c r="C56" s="26" t="s">
        <v>2041</v>
      </c>
      <c r="D56" s="19" t="s">
        <v>1608</v>
      </c>
      <c r="E56" s="19" t="s">
        <v>2045</v>
      </c>
      <c r="F56" s="44"/>
      <c r="G56" s="44"/>
      <c r="H56" s="44"/>
      <c r="I56" s="44"/>
      <c r="J56" s="56" t="str">
        <f t="shared" si="1"/>
        <v/>
      </c>
      <c r="K56" s="52" t="str">
        <f>IFERROR(IF(AND(ISNUMBER(J56),F56&lt;&gt;""),MAX(0,J56)*INDEX(Lists!$AJ$2:$AJ$4,MATCH(F56,Lists!$AI$2:$AI$4,0)),""),"")</f>
        <v/>
      </c>
      <c r="L56" s="22"/>
      <c r="M56" s="22"/>
      <c r="N56" s="22"/>
      <c r="O56" s="22"/>
    </row>
    <row r="57" spans="1:15" ht="28" x14ac:dyDescent="0.15">
      <c r="A57" s="43" t="s">
        <v>2046</v>
      </c>
      <c r="B57" s="60" t="s">
        <v>1979</v>
      </c>
      <c r="C57" s="26" t="s">
        <v>2041</v>
      </c>
      <c r="D57" s="19" t="s">
        <v>2047</v>
      </c>
      <c r="E57" s="19" t="s">
        <v>2048</v>
      </c>
      <c r="F57" s="44"/>
      <c r="G57" s="44"/>
      <c r="H57" s="44"/>
      <c r="I57" s="44"/>
      <c r="J57" s="56" t="str">
        <f t="shared" si="1"/>
        <v/>
      </c>
      <c r="K57" s="52" t="str">
        <f>IFERROR(IF(AND(ISNUMBER(J57),F57&lt;&gt;""),MAX(0,J57)*INDEX(Lists!$AJ$2:$AJ$4,MATCH(F57,Lists!$AI$2:$AI$4,0)),""),"")</f>
        <v/>
      </c>
      <c r="L57" s="22"/>
      <c r="M57" s="22"/>
      <c r="N57" s="22"/>
      <c r="O57" s="22"/>
    </row>
    <row r="58" spans="1:15" ht="14" x14ac:dyDescent="0.15">
      <c r="A58" s="43" t="s">
        <v>2049</v>
      </c>
      <c r="B58" s="60" t="s">
        <v>1979</v>
      </c>
      <c r="C58" s="26" t="s">
        <v>2050</v>
      </c>
      <c r="D58" s="19" t="s">
        <v>2051</v>
      </c>
      <c r="E58" s="19" t="s">
        <v>2052</v>
      </c>
      <c r="F58" s="44"/>
      <c r="G58" s="44"/>
      <c r="H58" s="44"/>
      <c r="I58" s="44"/>
      <c r="J58" s="56" t="str">
        <f t="shared" si="1"/>
        <v/>
      </c>
      <c r="K58" s="52" t="str">
        <f>IFERROR(IF(AND(ISNUMBER(J58),F58&lt;&gt;""),MAX(0,J58)*INDEX(Lists!$AJ$2:$AJ$4,MATCH(F58,Lists!$AI$2:$AI$4,0)),""),"")</f>
        <v/>
      </c>
      <c r="L58" s="22"/>
      <c r="M58" s="22"/>
      <c r="N58" s="22"/>
      <c r="O58" s="22"/>
    </row>
    <row r="59" spans="1:15" ht="14" x14ac:dyDescent="0.15">
      <c r="A59" s="43" t="s">
        <v>2053</v>
      </c>
      <c r="B59" s="60" t="s">
        <v>1979</v>
      </c>
      <c r="C59" s="26" t="s">
        <v>2050</v>
      </c>
      <c r="D59" s="19" t="s">
        <v>2054</v>
      </c>
      <c r="E59" s="19" t="s">
        <v>2055</v>
      </c>
      <c r="F59" s="44"/>
      <c r="G59" s="44"/>
      <c r="H59" s="44"/>
      <c r="I59" s="44"/>
      <c r="J59" s="56" t="str">
        <f t="shared" si="1"/>
        <v/>
      </c>
      <c r="K59" s="52" t="str">
        <f>IFERROR(IF(AND(ISNUMBER(J59),F59&lt;&gt;""),MAX(0,J59)*INDEX(Lists!$AJ$2:$AJ$4,MATCH(F59,Lists!$AI$2:$AI$4,0)),""),"")</f>
        <v/>
      </c>
      <c r="L59" s="22"/>
      <c r="M59" s="22"/>
      <c r="N59" s="22"/>
      <c r="O59" s="22"/>
    </row>
    <row r="60" spans="1:15" ht="28" x14ac:dyDescent="0.15">
      <c r="A60" s="43" t="s">
        <v>2056</v>
      </c>
      <c r="B60" s="60" t="s">
        <v>1979</v>
      </c>
      <c r="C60" s="26" t="s">
        <v>2050</v>
      </c>
      <c r="D60" s="19" t="s">
        <v>2057</v>
      </c>
      <c r="E60" s="19" t="s">
        <v>2058</v>
      </c>
      <c r="F60" s="44"/>
      <c r="G60" s="44"/>
      <c r="H60" s="44"/>
      <c r="I60" s="44"/>
      <c r="J60" s="56" t="str">
        <f t="shared" si="1"/>
        <v/>
      </c>
      <c r="K60" s="52" t="str">
        <f>IFERROR(IF(AND(ISNUMBER(J60),F60&lt;&gt;""),MAX(0,J60)*INDEX(Lists!$AJ$2:$AJ$4,MATCH(F60,Lists!$AI$2:$AI$4,0)),""),"")</f>
        <v/>
      </c>
      <c r="L60" s="22"/>
      <c r="M60" s="22"/>
      <c r="N60" s="22"/>
      <c r="O60" s="22"/>
    </row>
    <row r="61" spans="1:15" ht="14" x14ac:dyDescent="0.15">
      <c r="A61" s="43" t="s">
        <v>2059</v>
      </c>
      <c r="B61" s="60" t="s">
        <v>1979</v>
      </c>
      <c r="C61" s="26" t="s">
        <v>2050</v>
      </c>
      <c r="D61" s="19" t="s">
        <v>2060</v>
      </c>
      <c r="E61" s="19" t="s">
        <v>2061</v>
      </c>
      <c r="F61" s="44"/>
      <c r="G61" s="44"/>
      <c r="H61" s="44"/>
      <c r="I61" s="44"/>
      <c r="J61" s="56" t="str">
        <f t="shared" si="1"/>
        <v/>
      </c>
      <c r="K61" s="52" t="str">
        <f>IFERROR(IF(AND(ISNUMBER(J61),F61&lt;&gt;""),MAX(0,J61)*INDEX(Lists!$AJ$2:$AJ$4,MATCH(F61,Lists!$AI$2:$AI$4,0)),""),"")</f>
        <v/>
      </c>
      <c r="L61" s="22"/>
      <c r="M61" s="22"/>
      <c r="N61" s="22"/>
      <c r="O61" s="22"/>
    </row>
    <row r="62" spans="1:15" ht="14" x14ac:dyDescent="0.15">
      <c r="A62" s="43" t="s">
        <v>2062</v>
      </c>
      <c r="B62" s="22"/>
      <c r="C62" s="22"/>
      <c r="D62" s="22"/>
      <c r="E62" s="22"/>
      <c r="F62" s="44"/>
      <c r="G62" s="44"/>
      <c r="H62" s="44"/>
      <c r="I62" s="44"/>
      <c r="J62" s="56" t="str">
        <f t="shared" si="1"/>
        <v/>
      </c>
      <c r="K62" s="52" t="str">
        <f>IFERROR(IF(AND(ISNUMBER(J62),F62&lt;&gt;""),MAX(0,J62)*INDEX(Lists!$AJ$2:$AJ$4,MATCH(F62,Lists!$AI$2:$AI$4,0)),""),"")</f>
        <v/>
      </c>
      <c r="L62" s="22"/>
      <c r="M62" s="22"/>
      <c r="N62" s="22"/>
      <c r="O62" s="22"/>
    </row>
    <row r="63" spans="1:15" ht="14" x14ac:dyDescent="0.15">
      <c r="A63" s="43" t="s">
        <v>2063</v>
      </c>
      <c r="B63" s="22"/>
      <c r="C63" s="22"/>
      <c r="D63" s="22"/>
      <c r="E63" s="22"/>
      <c r="F63" s="44"/>
      <c r="G63" s="44"/>
      <c r="H63" s="44"/>
      <c r="I63" s="44"/>
      <c r="J63" s="56" t="str">
        <f t="shared" si="1"/>
        <v/>
      </c>
      <c r="K63" s="52" t="str">
        <f>IFERROR(IF(AND(ISNUMBER(J63),F63&lt;&gt;""),MAX(0,J63)*INDEX(Lists!$AJ$2:$AJ$4,MATCH(F63,Lists!$AI$2:$AI$4,0)),""),"")</f>
        <v/>
      </c>
      <c r="L63" s="22"/>
      <c r="M63" s="22"/>
      <c r="N63" s="22"/>
      <c r="O63" s="22"/>
    </row>
    <row r="64" spans="1:15" ht="14" x14ac:dyDescent="0.15">
      <c r="A64" s="43" t="s">
        <v>2064</v>
      </c>
      <c r="B64" s="22"/>
      <c r="C64" s="22"/>
      <c r="D64" s="22"/>
      <c r="E64" s="22"/>
      <c r="F64" s="44"/>
      <c r="G64" s="44"/>
      <c r="H64" s="44"/>
      <c r="I64" s="44"/>
      <c r="J64" s="56" t="str">
        <f t="shared" si="1"/>
        <v/>
      </c>
      <c r="K64" s="52" t="str">
        <f>IFERROR(IF(AND(ISNUMBER(J64),F64&lt;&gt;""),MAX(0,J64)*INDEX(Lists!$AJ$2:$AJ$4,MATCH(F64,Lists!$AI$2:$AI$4,0)),""),"")</f>
        <v/>
      </c>
      <c r="L64" s="22"/>
      <c r="M64" s="22"/>
      <c r="N64" s="22"/>
      <c r="O64" s="22"/>
    </row>
    <row r="65" spans="1:15" ht="14" x14ac:dyDescent="0.15">
      <c r="A65" s="43" t="s">
        <v>2065</v>
      </c>
      <c r="B65" s="22"/>
      <c r="C65" s="22"/>
      <c r="D65" s="22"/>
      <c r="E65" s="22"/>
      <c r="F65" s="44"/>
      <c r="G65" s="44"/>
      <c r="H65" s="44"/>
      <c r="I65" s="44"/>
      <c r="J65" s="56" t="str">
        <f t="shared" si="1"/>
        <v/>
      </c>
      <c r="K65" s="52" t="str">
        <f>IFERROR(IF(AND(ISNUMBER(J65),F65&lt;&gt;""),MAX(0,J65)*INDEX(Lists!$AJ$2:$AJ$4,MATCH(F65,Lists!$AI$2:$AI$4,0)),""),"")</f>
        <v/>
      </c>
      <c r="L65" s="22"/>
      <c r="M65" s="22"/>
      <c r="N65" s="22"/>
      <c r="O65" s="22"/>
    </row>
    <row r="66" spans="1:15" ht="14" x14ac:dyDescent="0.15">
      <c r="A66" s="43" t="s">
        <v>2066</v>
      </c>
      <c r="B66" s="22"/>
      <c r="C66" s="22"/>
      <c r="D66" s="22"/>
      <c r="E66" s="22"/>
      <c r="F66" s="44"/>
      <c r="G66" s="44"/>
      <c r="H66" s="44"/>
      <c r="I66" s="44"/>
      <c r="J66" s="56" t="str">
        <f t="shared" si="1"/>
        <v/>
      </c>
      <c r="K66" s="52" t="str">
        <f>IFERROR(IF(AND(ISNUMBER(J66),F66&lt;&gt;""),MAX(0,J66)*INDEX(Lists!$AJ$2:$AJ$4,MATCH(F66,Lists!$AI$2:$AI$4,0)),""),"")</f>
        <v/>
      </c>
      <c r="L66" s="22"/>
      <c r="M66" s="22"/>
      <c r="N66" s="22"/>
      <c r="O66" s="22"/>
    </row>
    <row r="67" spans="1:15" ht="14" x14ac:dyDescent="0.15">
      <c r="A67" s="43" t="s">
        <v>2067</v>
      </c>
      <c r="B67" s="22"/>
      <c r="C67" s="22"/>
      <c r="D67" s="22"/>
      <c r="E67" s="22"/>
      <c r="F67" s="44"/>
      <c r="G67" s="44"/>
      <c r="H67" s="44"/>
      <c r="I67" s="44"/>
      <c r="J67" s="56" t="str">
        <f t="shared" si="1"/>
        <v/>
      </c>
      <c r="K67" s="52" t="str">
        <f>IFERROR(IF(AND(ISNUMBER(J67),F67&lt;&gt;""),MAX(0,J67)*INDEX(Lists!$AJ$2:$AJ$4,MATCH(F67,Lists!$AI$2:$AI$4,0)),""),"")</f>
        <v/>
      </c>
      <c r="L67" s="22"/>
      <c r="M67" s="22"/>
      <c r="N67" s="22"/>
      <c r="O67" s="22"/>
    </row>
    <row r="68" spans="1:15" ht="14" x14ac:dyDescent="0.15">
      <c r="A68" s="43" t="s">
        <v>2068</v>
      </c>
      <c r="B68" s="22"/>
      <c r="C68" s="22"/>
      <c r="D68" s="22"/>
      <c r="E68" s="22"/>
      <c r="F68" s="44"/>
      <c r="G68" s="44"/>
      <c r="H68" s="44"/>
      <c r="I68" s="44"/>
      <c r="J68" s="56" t="str">
        <f t="shared" si="1"/>
        <v/>
      </c>
      <c r="K68" s="52" t="str">
        <f>IFERROR(IF(AND(ISNUMBER(J68),F68&lt;&gt;""),MAX(0,J68)*INDEX(Lists!$AJ$2:$AJ$4,MATCH(F68,Lists!$AI$2:$AI$4,0)),""),"")</f>
        <v/>
      </c>
      <c r="L68" s="22"/>
      <c r="M68" s="22"/>
      <c r="N68" s="22"/>
      <c r="O68" s="22"/>
    </row>
    <row r="69" spans="1:15" ht="14" x14ac:dyDescent="0.15">
      <c r="A69" s="43" t="s">
        <v>2069</v>
      </c>
      <c r="B69" s="22"/>
      <c r="C69" s="22"/>
      <c r="D69" s="22"/>
      <c r="E69" s="22"/>
      <c r="F69" s="44"/>
      <c r="G69" s="44"/>
      <c r="H69" s="44"/>
      <c r="I69" s="44"/>
      <c r="J69" s="56" t="str">
        <f t="shared" si="1"/>
        <v/>
      </c>
      <c r="K69" s="52" t="str">
        <f>IFERROR(IF(AND(ISNUMBER(J69),F69&lt;&gt;""),MAX(0,J69)*INDEX(Lists!$AJ$2:$AJ$4,MATCH(F69,Lists!$AI$2:$AI$4,0)),""),"")</f>
        <v/>
      </c>
      <c r="L69" s="22"/>
      <c r="M69" s="22"/>
      <c r="N69" s="22"/>
      <c r="O69" s="22"/>
    </row>
    <row r="70" spans="1:15" ht="14" x14ac:dyDescent="0.15">
      <c r="A70" s="43" t="s">
        <v>2070</v>
      </c>
      <c r="B70" s="22"/>
      <c r="C70" s="22"/>
      <c r="D70" s="22"/>
      <c r="E70" s="22"/>
      <c r="F70" s="44"/>
      <c r="G70" s="44"/>
      <c r="H70" s="44"/>
      <c r="I70" s="44"/>
      <c r="J70" s="56" t="str">
        <f t="shared" ref="J70:J101" si="2">IF(AND(ISNUMBER(H70),ISNUMBER(I70)),I70-H70,"")</f>
        <v/>
      </c>
      <c r="K70" s="52" t="str">
        <f>IFERROR(IF(AND(ISNUMBER(J70),F70&lt;&gt;""),MAX(0,J70)*INDEX(Lists!$AJ$2:$AJ$4,MATCH(F70,Lists!$AI$2:$AI$4,0)),""),"")</f>
        <v/>
      </c>
      <c r="L70" s="22"/>
      <c r="M70" s="22"/>
      <c r="N70" s="22"/>
      <c r="O70" s="22"/>
    </row>
    <row r="71" spans="1:15" ht="14" x14ac:dyDescent="0.15">
      <c r="A71" s="43" t="s">
        <v>2071</v>
      </c>
      <c r="B71" s="22"/>
      <c r="C71" s="22"/>
      <c r="D71" s="22"/>
      <c r="E71" s="22"/>
      <c r="F71" s="44"/>
      <c r="G71" s="44"/>
      <c r="H71" s="44"/>
      <c r="I71" s="44"/>
      <c r="J71" s="56" t="str">
        <f t="shared" si="2"/>
        <v/>
      </c>
      <c r="K71" s="52" t="str">
        <f>IFERROR(IF(AND(ISNUMBER(J71),F71&lt;&gt;""),MAX(0,J71)*INDEX(Lists!$AJ$2:$AJ$4,MATCH(F71,Lists!$AI$2:$AI$4,0)),""),"")</f>
        <v/>
      </c>
      <c r="L71" s="22"/>
      <c r="M71" s="22"/>
      <c r="N71" s="22"/>
      <c r="O71" s="22"/>
    </row>
    <row r="72" spans="1:15" ht="14" x14ac:dyDescent="0.15">
      <c r="A72" s="43" t="s">
        <v>2072</v>
      </c>
      <c r="B72" s="22"/>
      <c r="C72" s="22"/>
      <c r="D72" s="22"/>
      <c r="E72" s="22"/>
      <c r="F72" s="44"/>
      <c r="G72" s="44"/>
      <c r="H72" s="44"/>
      <c r="I72" s="44"/>
      <c r="J72" s="56" t="str">
        <f t="shared" si="2"/>
        <v/>
      </c>
      <c r="K72" s="52" t="str">
        <f>IFERROR(IF(AND(ISNUMBER(J72),F72&lt;&gt;""),MAX(0,J72)*INDEX(Lists!$AJ$2:$AJ$4,MATCH(F72,Lists!$AI$2:$AI$4,0)),""),"")</f>
        <v/>
      </c>
      <c r="L72" s="22"/>
      <c r="M72" s="22"/>
      <c r="N72" s="22"/>
      <c r="O72" s="22"/>
    </row>
    <row r="73" spans="1:15" ht="14" x14ac:dyDescent="0.15">
      <c r="A73" s="43" t="s">
        <v>2073</v>
      </c>
      <c r="B73" s="22"/>
      <c r="C73" s="22"/>
      <c r="D73" s="22"/>
      <c r="E73" s="22"/>
      <c r="F73" s="44"/>
      <c r="G73" s="44"/>
      <c r="H73" s="44"/>
      <c r="I73" s="44"/>
      <c r="J73" s="56" t="str">
        <f t="shared" si="2"/>
        <v/>
      </c>
      <c r="K73" s="52" t="str">
        <f>IFERROR(IF(AND(ISNUMBER(J73),F73&lt;&gt;""),MAX(0,J73)*INDEX(Lists!$AJ$2:$AJ$4,MATCH(F73,Lists!$AI$2:$AI$4,0)),""),"")</f>
        <v/>
      </c>
      <c r="L73" s="22"/>
      <c r="M73" s="22"/>
      <c r="N73" s="22"/>
      <c r="O73" s="22"/>
    </row>
    <row r="74" spans="1:15" ht="14" x14ac:dyDescent="0.15">
      <c r="A74" s="43" t="s">
        <v>2074</v>
      </c>
      <c r="B74" s="22"/>
      <c r="C74" s="22"/>
      <c r="D74" s="22"/>
      <c r="E74" s="22"/>
      <c r="F74" s="44"/>
      <c r="G74" s="44"/>
      <c r="H74" s="44"/>
      <c r="I74" s="44"/>
      <c r="J74" s="56" t="str">
        <f t="shared" si="2"/>
        <v/>
      </c>
      <c r="K74" s="52" t="str">
        <f>IFERROR(IF(AND(ISNUMBER(J74),F74&lt;&gt;""),MAX(0,J74)*INDEX(Lists!$AJ$2:$AJ$4,MATCH(F74,Lists!$AI$2:$AI$4,0)),""),"")</f>
        <v/>
      </c>
      <c r="L74" s="22"/>
      <c r="M74" s="22"/>
      <c r="N74" s="22"/>
      <c r="O74" s="22"/>
    </row>
    <row r="75" spans="1:15" ht="14" x14ac:dyDescent="0.15">
      <c r="A75" s="43" t="s">
        <v>2075</v>
      </c>
      <c r="B75" s="22"/>
      <c r="C75" s="22"/>
      <c r="D75" s="22"/>
      <c r="E75" s="22"/>
      <c r="F75" s="44"/>
      <c r="G75" s="44"/>
      <c r="H75" s="44"/>
      <c r="I75" s="44"/>
      <c r="J75" s="56" t="str">
        <f t="shared" si="2"/>
        <v/>
      </c>
      <c r="K75" s="52" t="str">
        <f>IFERROR(IF(AND(ISNUMBER(J75),F75&lt;&gt;""),MAX(0,J75)*INDEX(Lists!$AJ$2:$AJ$4,MATCH(F75,Lists!$AI$2:$AI$4,0)),""),"")</f>
        <v/>
      </c>
      <c r="L75" s="22"/>
      <c r="M75" s="22"/>
      <c r="N75" s="22"/>
      <c r="O75" s="22"/>
    </row>
    <row r="76" spans="1:15" ht="14" x14ac:dyDescent="0.15">
      <c r="A76" s="43" t="s">
        <v>2076</v>
      </c>
      <c r="B76" s="22"/>
      <c r="C76" s="22"/>
      <c r="D76" s="22"/>
      <c r="E76" s="22"/>
      <c r="F76" s="44"/>
      <c r="G76" s="44"/>
      <c r="H76" s="44"/>
      <c r="I76" s="44"/>
      <c r="J76" s="56" t="str">
        <f t="shared" si="2"/>
        <v/>
      </c>
      <c r="K76" s="52" t="str">
        <f>IFERROR(IF(AND(ISNUMBER(J76),F76&lt;&gt;""),MAX(0,J76)*INDEX(Lists!$AJ$2:$AJ$4,MATCH(F76,Lists!$AI$2:$AI$4,0)),""),"")</f>
        <v/>
      </c>
      <c r="L76" s="22"/>
      <c r="M76" s="22"/>
      <c r="N76" s="22"/>
      <c r="O76" s="22"/>
    </row>
  </sheetData>
  <autoFilter ref="A5:O76" xr:uid="{00000000-0009-0000-0000-000008000000}"/>
  <conditionalFormatting sqref="H6:H76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K6:K76">
    <cfRule type="colorScale" priority="3">
      <colorScale>
        <cfvo type="num" val="0"/>
        <cfvo type="num" val="3"/>
        <cfvo type="num" val="9"/>
        <color rgb="FFFFFFFF"/>
        <color rgb="FFFFD966"/>
        <color rgb="FFF8696B"/>
      </colorScale>
    </cfRule>
  </conditionalFormatting>
  <dataValidations count="1">
    <dataValidation type="list" allowBlank="1" showErrorMessage="1" errorTitle="Invalid entry" error="Please select a value from the list (values are maintained on the Lists tab)." sqref="B6:B76" xr:uid="{00000000-0002-0000-0800-000000000000}">
      <formula1>"Strategic,Core,Enabling"</formula1>
      <formula2>0</formula2>
    </dataValidation>
  </dataValidations>
  <pageMargins left="0.4" right="0.4" top="0.5" bottom="0.5" header="0.511811023622047" footer="0.5"/>
  <pageSetup paperSize="9" fitToHeight="0" orientation="landscape" horizontalDpi="300" verticalDpi="300"/>
  <headerFooter>
    <oddFooter>&amp;L&amp;8 CTO Consulting | Operating Model Assessment Toolkit&amp;R&amp;8 &amp;A | 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errorTitle="Invalid entry" error="Please select a value from the list (values are maintained on the Lists tab)." xr:uid="{00000000-0002-0000-0800-000001000000}">
          <x14:formula1>
            <xm:f>Lists!$D$2:$D$4</xm:f>
          </x14:formula1>
          <x14:formula2>
            <xm:f>0</xm:f>
          </x14:formula2>
          <xm:sqref>F6:F76</xm:sqref>
        </x14:dataValidation>
        <x14:dataValidation type="list" allowBlank="1" showErrorMessage="1" errorTitle="Invalid entry" error="Please select a value from the list (values are maintained on the Lists tab)." xr:uid="{00000000-0002-0000-0800-000002000000}">
          <x14:formula1>
            <xm:f>Lists!$Q$2:$Q$4</xm:f>
          </x14:formula1>
          <x14:formula2>
            <xm:f>0</xm:f>
          </x14:formula2>
          <xm:sqref>G6:G76</xm:sqref>
        </x14:dataValidation>
        <x14:dataValidation type="list" allowBlank="1" showErrorMessage="1" errorTitle="Invalid entry" error="Please select a value from the list (values are maintained on the Lists tab)." xr:uid="{00000000-0002-0000-0800-000003000000}">
          <x14:formula1>
            <xm:f>Lists!$B$2:$B$7</xm:f>
          </x14:formula1>
          <x14:formula2>
            <xm:f>0</xm:f>
          </x14:formula2>
          <xm:sqref>H6:H76</xm:sqref>
        </x14:dataValidation>
        <x14:dataValidation type="list" allowBlank="1" showErrorMessage="1" errorTitle="Invalid entry" error="Please select a value from the list (values are maintained on the Lists tab)." xr:uid="{00000000-0002-0000-0800-000004000000}">
          <x14:formula1>
            <xm:f>Lists!$B$2:$B$6</xm:f>
          </x14:formula1>
          <x14:formula2>
            <xm:f>0</xm:f>
          </x14:formula2>
          <xm:sqref>I6:I76</xm:sqref>
        </x14:dataValidation>
        <x14:dataValidation type="list" allowBlank="1" showErrorMessage="1" errorTitle="Invalid entry" error="Please select a value from the list (values are maintained on the Lists tab)." xr:uid="{00000000-0002-0000-0800-000005000000}">
          <x14:formula1>
            <xm:f>Lists!$R$2:$R$6</xm:f>
          </x14:formula1>
          <x14:formula2>
            <xm:f>0</xm:f>
          </x14:formula2>
          <xm:sqref>N6:N76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75B6"/>
    <pageSetUpPr fitToPage="1"/>
  </sheetPr>
  <dimension ref="A1:S65"/>
  <sheetViews>
    <sheetView showGridLines="0"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baseColWidth="10" defaultColWidth="8.6640625" defaultRowHeight="13" x14ac:dyDescent="0.15"/>
  <cols>
    <col min="1" max="1" width="7" customWidth="1"/>
    <col min="2" max="2" width="22" customWidth="1"/>
    <col min="3" max="3" width="30" customWidth="1"/>
    <col min="4" max="4" width="24" customWidth="1"/>
    <col min="5" max="6" width="18" customWidth="1"/>
    <col min="7" max="7" width="12" customWidth="1"/>
    <col min="8" max="8" width="13" customWidth="1"/>
    <col min="9" max="9" width="15" customWidth="1"/>
    <col min="10" max="10" width="20" customWidth="1"/>
    <col min="11" max="12" width="11" customWidth="1"/>
    <col min="13" max="13" width="9" customWidth="1"/>
    <col min="14" max="14" width="12" customWidth="1"/>
    <col min="15" max="15" width="9" customWidth="1"/>
    <col min="16" max="16" width="34" customWidth="1"/>
    <col min="17" max="17" width="10" customWidth="1"/>
    <col min="18" max="18" width="32" customWidth="1"/>
    <col min="19" max="19" width="10" customWidth="1"/>
  </cols>
  <sheetData>
    <row r="1" spans="1:19" ht="27.75" customHeight="1" x14ac:dyDescent="0.15">
      <c r="A1" s="33" t="s">
        <v>2077</v>
      </c>
    </row>
    <row r="2" spans="1:19" x14ac:dyDescent="0.15">
      <c r="A2" s="34" t="s">
        <v>2078</v>
      </c>
    </row>
    <row r="3" spans="1:19" x14ac:dyDescent="0.15">
      <c r="A3" s="38" t="s">
        <v>423</v>
      </c>
    </row>
    <row r="5" spans="1:19" ht="43.5" customHeight="1" x14ac:dyDescent="0.15">
      <c r="A5" s="20" t="s">
        <v>424</v>
      </c>
      <c r="B5" s="20" t="s">
        <v>2079</v>
      </c>
      <c r="C5" s="20" t="s">
        <v>2080</v>
      </c>
      <c r="D5" s="20" t="s">
        <v>2081</v>
      </c>
      <c r="E5" s="20" t="s">
        <v>2082</v>
      </c>
      <c r="F5" s="20" t="s">
        <v>2083</v>
      </c>
      <c r="G5" s="20" t="s">
        <v>2084</v>
      </c>
      <c r="H5" s="20" t="s">
        <v>2085</v>
      </c>
      <c r="I5" s="20" t="s">
        <v>2086</v>
      </c>
      <c r="J5" s="20" t="s">
        <v>2087</v>
      </c>
      <c r="K5" s="20" t="s">
        <v>2088</v>
      </c>
      <c r="L5" s="20" t="s">
        <v>2089</v>
      </c>
      <c r="M5" s="20" t="s">
        <v>2090</v>
      </c>
      <c r="N5" s="20" t="s">
        <v>2091</v>
      </c>
      <c r="O5" s="20" t="s">
        <v>2092</v>
      </c>
      <c r="P5" s="20" t="s">
        <v>2093</v>
      </c>
      <c r="Q5" s="20" t="s">
        <v>2094</v>
      </c>
      <c r="R5" s="20" t="s">
        <v>2095</v>
      </c>
      <c r="S5" s="20" t="s">
        <v>703</v>
      </c>
    </row>
    <row r="6" spans="1:19" ht="14" x14ac:dyDescent="0.15">
      <c r="A6" s="43" t="s">
        <v>2096</v>
      </c>
      <c r="B6" s="26" t="s">
        <v>2097</v>
      </c>
      <c r="C6" s="19" t="s">
        <v>2098</v>
      </c>
      <c r="D6" s="22"/>
      <c r="E6" s="22"/>
      <c r="F6" s="22"/>
      <c r="G6" s="44"/>
      <c r="H6" s="44"/>
      <c r="I6" s="44"/>
      <c r="J6" s="22"/>
      <c r="K6" s="61"/>
      <c r="L6" s="62"/>
      <c r="M6" s="62"/>
      <c r="N6" s="63" t="str">
        <f t="shared" ref="N6:N37" si="0">IF(AND(ISNUMBER(K6),ISNUMBER(M6),K6&gt;0),M6/K6*1000,"")</f>
        <v/>
      </c>
      <c r="O6" s="44"/>
      <c r="P6" s="22"/>
      <c r="Q6" s="44"/>
      <c r="R6" s="22"/>
      <c r="S6" s="44"/>
    </row>
    <row r="7" spans="1:19" ht="14" x14ac:dyDescent="0.15">
      <c r="A7" s="43" t="s">
        <v>2099</v>
      </c>
      <c r="B7" s="26" t="s">
        <v>2097</v>
      </c>
      <c r="C7" s="19" t="s">
        <v>2100</v>
      </c>
      <c r="D7" s="22"/>
      <c r="E7" s="22"/>
      <c r="F7" s="22"/>
      <c r="G7" s="44"/>
      <c r="H7" s="44"/>
      <c r="I7" s="44"/>
      <c r="J7" s="22"/>
      <c r="K7" s="61"/>
      <c r="L7" s="62"/>
      <c r="M7" s="62"/>
      <c r="N7" s="63" t="str">
        <f t="shared" si="0"/>
        <v/>
      </c>
      <c r="O7" s="44"/>
      <c r="P7" s="22"/>
      <c r="Q7" s="44"/>
      <c r="R7" s="22"/>
      <c r="S7" s="44"/>
    </row>
    <row r="8" spans="1:19" ht="14" x14ac:dyDescent="0.15">
      <c r="A8" s="43" t="s">
        <v>2101</v>
      </c>
      <c r="B8" s="26" t="s">
        <v>2097</v>
      </c>
      <c r="C8" s="19" t="s">
        <v>2102</v>
      </c>
      <c r="D8" s="22"/>
      <c r="E8" s="22"/>
      <c r="F8" s="22"/>
      <c r="G8" s="44"/>
      <c r="H8" s="44"/>
      <c r="I8" s="44"/>
      <c r="J8" s="22"/>
      <c r="K8" s="61"/>
      <c r="L8" s="62"/>
      <c r="M8" s="62"/>
      <c r="N8" s="63" t="str">
        <f t="shared" si="0"/>
        <v/>
      </c>
      <c r="O8" s="44"/>
      <c r="P8" s="22"/>
      <c r="Q8" s="44"/>
      <c r="R8" s="22"/>
      <c r="S8" s="44"/>
    </row>
    <row r="9" spans="1:19" ht="14" x14ac:dyDescent="0.15">
      <c r="A9" s="43" t="s">
        <v>2103</v>
      </c>
      <c r="B9" s="26" t="s">
        <v>2097</v>
      </c>
      <c r="C9" s="19" t="s">
        <v>2104</v>
      </c>
      <c r="D9" s="22"/>
      <c r="E9" s="22"/>
      <c r="F9" s="22"/>
      <c r="G9" s="44"/>
      <c r="H9" s="44"/>
      <c r="I9" s="44"/>
      <c r="J9" s="22"/>
      <c r="K9" s="61"/>
      <c r="L9" s="62"/>
      <c r="M9" s="62"/>
      <c r="N9" s="63" t="str">
        <f t="shared" si="0"/>
        <v/>
      </c>
      <c r="O9" s="44"/>
      <c r="P9" s="22"/>
      <c r="Q9" s="44"/>
      <c r="R9" s="22"/>
      <c r="S9" s="44"/>
    </row>
    <row r="10" spans="1:19" ht="14" x14ac:dyDescent="0.15">
      <c r="A10" s="43" t="s">
        <v>2105</v>
      </c>
      <c r="B10" s="26" t="s">
        <v>2106</v>
      </c>
      <c r="C10" s="19" t="s">
        <v>2107</v>
      </c>
      <c r="D10" s="22"/>
      <c r="E10" s="22"/>
      <c r="F10" s="22"/>
      <c r="G10" s="44"/>
      <c r="H10" s="44"/>
      <c r="I10" s="44"/>
      <c r="J10" s="22"/>
      <c r="K10" s="61"/>
      <c r="L10" s="62"/>
      <c r="M10" s="62"/>
      <c r="N10" s="63" t="str">
        <f t="shared" si="0"/>
        <v/>
      </c>
      <c r="O10" s="44"/>
      <c r="P10" s="22"/>
      <c r="Q10" s="44"/>
      <c r="R10" s="22"/>
      <c r="S10" s="44"/>
    </row>
    <row r="11" spans="1:19" ht="14" x14ac:dyDescent="0.15">
      <c r="A11" s="43" t="s">
        <v>2108</v>
      </c>
      <c r="B11" s="26" t="s">
        <v>2106</v>
      </c>
      <c r="C11" s="19" t="s">
        <v>2109</v>
      </c>
      <c r="D11" s="22"/>
      <c r="E11" s="22"/>
      <c r="F11" s="22"/>
      <c r="G11" s="44"/>
      <c r="H11" s="44"/>
      <c r="I11" s="44"/>
      <c r="J11" s="22"/>
      <c r="K11" s="61"/>
      <c r="L11" s="62"/>
      <c r="M11" s="62"/>
      <c r="N11" s="63" t="str">
        <f t="shared" si="0"/>
        <v/>
      </c>
      <c r="O11" s="44"/>
      <c r="P11" s="22"/>
      <c r="Q11" s="44"/>
      <c r="R11" s="22"/>
      <c r="S11" s="44"/>
    </row>
    <row r="12" spans="1:19" ht="14" x14ac:dyDescent="0.15">
      <c r="A12" s="43" t="s">
        <v>2110</v>
      </c>
      <c r="B12" s="26" t="s">
        <v>2106</v>
      </c>
      <c r="C12" s="19" t="s">
        <v>2111</v>
      </c>
      <c r="D12" s="22"/>
      <c r="E12" s="22"/>
      <c r="F12" s="22"/>
      <c r="G12" s="44"/>
      <c r="H12" s="44"/>
      <c r="I12" s="44"/>
      <c r="J12" s="22"/>
      <c r="K12" s="61"/>
      <c r="L12" s="62"/>
      <c r="M12" s="62"/>
      <c r="N12" s="63" t="str">
        <f t="shared" si="0"/>
        <v/>
      </c>
      <c r="O12" s="44"/>
      <c r="P12" s="22"/>
      <c r="Q12" s="44"/>
      <c r="R12" s="22"/>
      <c r="S12" s="44"/>
    </row>
    <row r="13" spans="1:19" ht="14" x14ac:dyDescent="0.15">
      <c r="A13" s="43" t="s">
        <v>2112</v>
      </c>
      <c r="B13" s="26" t="s">
        <v>2113</v>
      </c>
      <c r="C13" s="19" t="s">
        <v>2114</v>
      </c>
      <c r="D13" s="22"/>
      <c r="E13" s="22"/>
      <c r="F13" s="22"/>
      <c r="G13" s="44"/>
      <c r="H13" s="44"/>
      <c r="I13" s="44"/>
      <c r="J13" s="22"/>
      <c r="K13" s="61"/>
      <c r="L13" s="62"/>
      <c r="M13" s="62"/>
      <c r="N13" s="63" t="str">
        <f t="shared" si="0"/>
        <v/>
      </c>
      <c r="O13" s="44"/>
      <c r="P13" s="22"/>
      <c r="Q13" s="44"/>
      <c r="R13" s="22"/>
      <c r="S13" s="44"/>
    </row>
    <row r="14" spans="1:19" ht="14" x14ac:dyDescent="0.15">
      <c r="A14" s="43" t="s">
        <v>2115</v>
      </c>
      <c r="B14" s="26" t="s">
        <v>2113</v>
      </c>
      <c r="C14" s="19" t="s">
        <v>2116</v>
      </c>
      <c r="D14" s="22"/>
      <c r="E14" s="22"/>
      <c r="F14" s="22"/>
      <c r="G14" s="44"/>
      <c r="H14" s="44"/>
      <c r="I14" s="44"/>
      <c r="J14" s="22"/>
      <c r="K14" s="61"/>
      <c r="L14" s="62"/>
      <c r="M14" s="62"/>
      <c r="N14" s="63" t="str">
        <f t="shared" si="0"/>
        <v/>
      </c>
      <c r="O14" s="44"/>
      <c r="P14" s="22"/>
      <c r="Q14" s="44"/>
      <c r="R14" s="22"/>
      <c r="S14" s="44"/>
    </row>
    <row r="15" spans="1:19" ht="14" x14ac:dyDescent="0.15">
      <c r="A15" s="43" t="s">
        <v>2117</v>
      </c>
      <c r="B15" s="26" t="s">
        <v>2113</v>
      </c>
      <c r="C15" s="19" t="s">
        <v>2118</v>
      </c>
      <c r="D15" s="22"/>
      <c r="E15" s="22"/>
      <c r="F15" s="22"/>
      <c r="G15" s="44"/>
      <c r="H15" s="44"/>
      <c r="I15" s="44"/>
      <c r="J15" s="22"/>
      <c r="K15" s="61"/>
      <c r="L15" s="62"/>
      <c r="M15" s="62"/>
      <c r="N15" s="63" t="str">
        <f t="shared" si="0"/>
        <v/>
      </c>
      <c r="O15" s="44"/>
      <c r="P15" s="22"/>
      <c r="Q15" s="44"/>
      <c r="R15" s="22"/>
      <c r="S15" s="44"/>
    </row>
    <row r="16" spans="1:19" ht="14" x14ac:dyDescent="0.15">
      <c r="A16" s="43" t="s">
        <v>2119</v>
      </c>
      <c r="B16" s="26" t="s">
        <v>2113</v>
      </c>
      <c r="C16" s="19" t="s">
        <v>2120</v>
      </c>
      <c r="D16" s="22"/>
      <c r="E16" s="22"/>
      <c r="F16" s="22"/>
      <c r="G16" s="44"/>
      <c r="H16" s="44"/>
      <c r="I16" s="44"/>
      <c r="J16" s="22"/>
      <c r="K16" s="61"/>
      <c r="L16" s="62"/>
      <c r="M16" s="62"/>
      <c r="N16" s="63" t="str">
        <f t="shared" si="0"/>
        <v/>
      </c>
      <c r="O16" s="44"/>
      <c r="P16" s="22"/>
      <c r="Q16" s="44"/>
      <c r="R16" s="22"/>
      <c r="S16" s="44"/>
    </row>
    <row r="17" spans="1:19" ht="14" x14ac:dyDescent="0.15">
      <c r="A17" s="43" t="s">
        <v>2121</v>
      </c>
      <c r="B17" s="26" t="s">
        <v>2122</v>
      </c>
      <c r="C17" s="19" t="s">
        <v>2123</v>
      </c>
      <c r="D17" s="22"/>
      <c r="E17" s="22"/>
      <c r="F17" s="22"/>
      <c r="G17" s="44"/>
      <c r="H17" s="44"/>
      <c r="I17" s="44"/>
      <c r="J17" s="22"/>
      <c r="K17" s="61"/>
      <c r="L17" s="62"/>
      <c r="M17" s="62"/>
      <c r="N17" s="63" t="str">
        <f t="shared" si="0"/>
        <v/>
      </c>
      <c r="O17" s="44"/>
      <c r="P17" s="22"/>
      <c r="Q17" s="44"/>
      <c r="R17" s="22"/>
      <c r="S17" s="44"/>
    </row>
    <row r="18" spans="1:19" ht="14" x14ac:dyDescent="0.15">
      <c r="A18" s="43" t="s">
        <v>2124</v>
      </c>
      <c r="B18" s="26" t="s">
        <v>2122</v>
      </c>
      <c r="C18" s="19" t="s">
        <v>2125</v>
      </c>
      <c r="D18" s="22"/>
      <c r="E18" s="22"/>
      <c r="F18" s="22"/>
      <c r="G18" s="44"/>
      <c r="H18" s="44"/>
      <c r="I18" s="44"/>
      <c r="J18" s="22"/>
      <c r="K18" s="61"/>
      <c r="L18" s="62"/>
      <c r="M18" s="62"/>
      <c r="N18" s="63" t="str">
        <f t="shared" si="0"/>
        <v/>
      </c>
      <c r="O18" s="44"/>
      <c r="P18" s="22"/>
      <c r="Q18" s="44"/>
      <c r="R18" s="22"/>
      <c r="S18" s="44"/>
    </row>
    <row r="19" spans="1:19" ht="14" x14ac:dyDescent="0.15">
      <c r="A19" s="43" t="s">
        <v>2126</v>
      </c>
      <c r="B19" s="26" t="s">
        <v>2122</v>
      </c>
      <c r="C19" s="19" t="s">
        <v>2127</v>
      </c>
      <c r="D19" s="22"/>
      <c r="E19" s="22"/>
      <c r="F19" s="22"/>
      <c r="G19" s="44"/>
      <c r="H19" s="44"/>
      <c r="I19" s="44"/>
      <c r="J19" s="22"/>
      <c r="K19" s="61"/>
      <c r="L19" s="62"/>
      <c r="M19" s="62"/>
      <c r="N19" s="63" t="str">
        <f t="shared" si="0"/>
        <v/>
      </c>
      <c r="O19" s="44"/>
      <c r="P19" s="22"/>
      <c r="Q19" s="44"/>
      <c r="R19" s="22"/>
      <c r="S19" s="44"/>
    </row>
    <row r="20" spans="1:19" ht="14" x14ac:dyDescent="0.15">
      <c r="A20" s="43" t="s">
        <v>2128</v>
      </c>
      <c r="B20" s="26" t="s">
        <v>2129</v>
      </c>
      <c r="C20" s="19" t="s">
        <v>2130</v>
      </c>
      <c r="D20" s="22"/>
      <c r="E20" s="22"/>
      <c r="F20" s="22"/>
      <c r="G20" s="44"/>
      <c r="H20" s="44"/>
      <c r="I20" s="44"/>
      <c r="J20" s="22"/>
      <c r="K20" s="61"/>
      <c r="L20" s="62"/>
      <c r="M20" s="62"/>
      <c r="N20" s="63" t="str">
        <f t="shared" si="0"/>
        <v/>
      </c>
      <c r="O20" s="44"/>
      <c r="P20" s="22"/>
      <c r="Q20" s="44"/>
      <c r="R20" s="22"/>
      <c r="S20" s="44"/>
    </row>
    <row r="21" spans="1:19" ht="14" x14ac:dyDescent="0.15">
      <c r="A21" s="43" t="s">
        <v>2131</v>
      </c>
      <c r="B21" s="26" t="s">
        <v>2129</v>
      </c>
      <c r="C21" s="19" t="s">
        <v>2132</v>
      </c>
      <c r="D21" s="22"/>
      <c r="E21" s="22"/>
      <c r="F21" s="22"/>
      <c r="G21" s="44"/>
      <c r="H21" s="44"/>
      <c r="I21" s="44"/>
      <c r="J21" s="22"/>
      <c r="K21" s="61"/>
      <c r="L21" s="62"/>
      <c r="M21" s="62"/>
      <c r="N21" s="63" t="str">
        <f t="shared" si="0"/>
        <v/>
      </c>
      <c r="O21" s="44"/>
      <c r="P21" s="22"/>
      <c r="Q21" s="44"/>
      <c r="R21" s="22"/>
      <c r="S21" s="44"/>
    </row>
    <row r="22" spans="1:19" ht="14" x14ac:dyDescent="0.15">
      <c r="A22" s="43" t="s">
        <v>2133</v>
      </c>
      <c r="B22" s="26" t="s">
        <v>2129</v>
      </c>
      <c r="C22" s="19" t="s">
        <v>2134</v>
      </c>
      <c r="D22" s="22"/>
      <c r="E22" s="22"/>
      <c r="F22" s="22"/>
      <c r="G22" s="44"/>
      <c r="H22" s="44"/>
      <c r="I22" s="44"/>
      <c r="J22" s="22"/>
      <c r="K22" s="61"/>
      <c r="L22" s="62"/>
      <c r="M22" s="62"/>
      <c r="N22" s="63" t="str">
        <f t="shared" si="0"/>
        <v/>
      </c>
      <c r="O22" s="44"/>
      <c r="P22" s="22"/>
      <c r="Q22" s="44"/>
      <c r="R22" s="22"/>
      <c r="S22" s="44"/>
    </row>
    <row r="23" spans="1:19" ht="14" x14ac:dyDescent="0.15">
      <c r="A23" s="43" t="s">
        <v>2135</v>
      </c>
      <c r="B23" s="26" t="s">
        <v>2136</v>
      </c>
      <c r="C23" s="19" t="s">
        <v>2137</v>
      </c>
      <c r="D23" s="22"/>
      <c r="E23" s="22"/>
      <c r="F23" s="22"/>
      <c r="G23" s="44"/>
      <c r="H23" s="44"/>
      <c r="I23" s="44"/>
      <c r="J23" s="22"/>
      <c r="K23" s="61"/>
      <c r="L23" s="62"/>
      <c r="M23" s="62"/>
      <c r="N23" s="63" t="str">
        <f t="shared" si="0"/>
        <v/>
      </c>
      <c r="O23" s="44"/>
      <c r="P23" s="22"/>
      <c r="Q23" s="44"/>
      <c r="R23" s="22"/>
      <c r="S23" s="44"/>
    </row>
    <row r="24" spans="1:19" ht="14" x14ac:dyDescent="0.15">
      <c r="A24" s="43" t="s">
        <v>2138</v>
      </c>
      <c r="B24" s="26" t="s">
        <v>2136</v>
      </c>
      <c r="C24" s="19" t="s">
        <v>2139</v>
      </c>
      <c r="D24" s="22"/>
      <c r="E24" s="22"/>
      <c r="F24" s="22"/>
      <c r="G24" s="44"/>
      <c r="H24" s="44"/>
      <c r="I24" s="44"/>
      <c r="J24" s="22"/>
      <c r="K24" s="61"/>
      <c r="L24" s="62"/>
      <c r="M24" s="62"/>
      <c r="N24" s="63" t="str">
        <f t="shared" si="0"/>
        <v/>
      </c>
      <c r="O24" s="44"/>
      <c r="P24" s="22"/>
      <c r="Q24" s="44"/>
      <c r="R24" s="22"/>
      <c r="S24" s="44"/>
    </row>
    <row r="25" spans="1:19" ht="14" x14ac:dyDescent="0.15">
      <c r="A25" s="43" t="s">
        <v>2140</v>
      </c>
      <c r="B25" s="26" t="s">
        <v>2136</v>
      </c>
      <c r="C25" s="19" t="s">
        <v>2141</v>
      </c>
      <c r="D25" s="22"/>
      <c r="E25" s="22"/>
      <c r="F25" s="22"/>
      <c r="G25" s="44"/>
      <c r="H25" s="44"/>
      <c r="I25" s="44"/>
      <c r="J25" s="22"/>
      <c r="K25" s="61"/>
      <c r="L25" s="62"/>
      <c r="M25" s="62"/>
      <c r="N25" s="63" t="str">
        <f t="shared" si="0"/>
        <v/>
      </c>
      <c r="O25" s="44"/>
      <c r="P25" s="22"/>
      <c r="Q25" s="44"/>
      <c r="R25" s="22"/>
      <c r="S25" s="44"/>
    </row>
    <row r="26" spans="1:19" ht="14" x14ac:dyDescent="0.15">
      <c r="A26" s="43" t="s">
        <v>2142</v>
      </c>
      <c r="B26" s="26" t="s">
        <v>2136</v>
      </c>
      <c r="C26" s="19" t="s">
        <v>2143</v>
      </c>
      <c r="D26" s="22"/>
      <c r="E26" s="22"/>
      <c r="F26" s="22"/>
      <c r="G26" s="44"/>
      <c r="H26" s="44"/>
      <c r="I26" s="44"/>
      <c r="J26" s="22"/>
      <c r="K26" s="61"/>
      <c r="L26" s="62"/>
      <c r="M26" s="62"/>
      <c r="N26" s="63" t="str">
        <f t="shared" si="0"/>
        <v/>
      </c>
      <c r="O26" s="44"/>
      <c r="P26" s="22"/>
      <c r="Q26" s="44"/>
      <c r="R26" s="22"/>
      <c r="S26" s="44"/>
    </row>
    <row r="27" spans="1:19" ht="14" x14ac:dyDescent="0.15">
      <c r="A27" s="43" t="s">
        <v>2144</v>
      </c>
      <c r="B27" s="26" t="s">
        <v>2145</v>
      </c>
      <c r="C27" s="19" t="s">
        <v>2146</v>
      </c>
      <c r="D27" s="22"/>
      <c r="E27" s="22"/>
      <c r="F27" s="22"/>
      <c r="G27" s="44"/>
      <c r="H27" s="44"/>
      <c r="I27" s="44"/>
      <c r="J27" s="22"/>
      <c r="K27" s="61"/>
      <c r="L27" s="62"/>
      <c r="M27" s="62"/>
      <c r="N27" s="63" t="str">
        <f t="shared" si="0"/>
        <v/>
      </c>
      <c r="O27" s="44"/>
      <c r="P27" s="22"/>
      <c r="Q27" s="44"/>
      <c r="R27" s="22"/>
      <c r="S27" s="44"/>
    </row>
    <row r="28" spans="1:19" ht="14" x14ac:dyDescent="0.15">
      <c r="A28" s="43" t="s">
        <v>2147</v>
      </c>
      <c r="B28" s="26" t="s">
        <v>2145</v>
      </c>
      <c r="C28" s="19" t="s">
        <v>2148</v>
      </c>
      <c r="D28" s="22"/>
      <c r="E28" s="22"/>
      <c r="F28" s="22"/>
      <c r="G28" s="44"/>
      <c r="H28" s="44"/>
      <c r="I28" s="44"/>
      <c r="J28" s="22"/>
      <c r="K28" s="61"/>
      <c r="L28" s="62"/>
      <c r="M28" s="62"/>
      <c r="N28" s="63" t="str">
        <f t="shared" si="0"/>
        <v/>
      </c>
      <c r="O28" s="44"/>
      <c r="P28" s="22"/>
      <c r="Q28" s="44"/>
      <c r="R28" s="22"/>
      <c r="S28" s="44"/>
    </row>
    <row r="29" spans="1:19" ht="14" x14ac:dyDescent="0.15">
      <c r="A29" s="43" t="s">
        <v>2149</v>
      </c>
      <c r="B29" s="26" t="s">
        <v>2145</v>
      </c>
      <c r="C29" s="19" t="s">
        <v>2150</v>
      </c>
      <c r="D29" s="22"/>
      <c r="E29" s="22"/>
      <c r="F29" s="22"/>
      <c r="G29" s="44"/>
      <c r="H29" s="44"/>
      <c r="I29" s="44"/>
      <c r="J29" s="22"/>
      <c r="K29" s="61"/>
      <c r="L29" s="62"/>
      <c r="M29" s="62"/>
      <c r="N29" s="63" t="str">
        <f t="shared" si="0"/>
        <v/>
      </c>
      <c r="O29" s="44"/>
      <c r="P29" s="22"/>
      <c r="Q29" s="44"/>
      <c r="R29" s="22"/>
      <c r="S29" s="44"/>
    </row>
    <row r="30" spans="1:19" ht="14" x14ac:dyDescent="0.15">
      <c r="A30" s="43" t="s">
        <v>2151</v>
      </c>
      <c r="B30" s="26" t="s">
        <v>2145</v>
      </c>
      <c r="C30" s="19" t="s">
        <v>2152</v>
      </c>
      <c r="D30" s="22"/>
      <c r="E30" s="22"/>
      <c r="F30" s="22"/>
      <c r="G30" s="44"/>
      <c r="H30" s="44"/>
      <c r="I30" s="44"/>
      <c r="J30" s="22"/>
      <c r="K30" s="61"/>
      <c r="L30" s="62"/>
      <c r="M30" s="62"/>
      <c r="N30" s="63" t="str">
        <f t="shared" si="0"/>
        <v/>
      </c>
      <c r="O30" s="44"/>
      <c r="P30" s="22"/>
      <c r="Q30" s="44"/>
      <c r="R30" s="22"/>
      <c r="S30" s="44"/>
    </row>
    <row r="31" spans="1:19" ht="14" x14ac:dyDescent="0.15">
      <c r="A31" s="43" t="s">
        <v>2153</v>
      </c>
      <c r="B31" s="26" t="s">
        <v>2145</v>
      </c>
      <c r="C31" s="19" t="s">
        <v>2154</v>
      </c>
      <c r="D31" s="22"/>
      <c r="E31" s="22"/>
      <c r="F31" s="22"/>
      <c r="G31" s="44"/>
      <c r="H31" s="44"/>
      <c r="I31" s="44"/>
      <c r="J31" s="22"/>
      <c r="K31" s="61"/>
      <c r="L31" s="62"/>
      <c r="M31" s="62"/>
      <c r="N31" s="63" t="str">
        <f t="shared" si="0"/>
        <v/>
      </c>
      <c r="O31" s="44"/>
      <c r="P31" s="22"/>
      <c r="Q31" s="44"/>
      <c r="R31" s="22"/>
      <c r="S31" s="44"/>
    </row>
    <row r="32" spans="1:19" ht="14" x14ac:dyDescent="0.15">
      <c r="A32" s="43" t="s">
        <v>2155</v>
      </c>
      <c r="B32" s="26" t="s">
        <v>2156</v>
      </c>
      <c r="C32" s="19" t="s">
        <v>2157</v>
      </c>
      <c r="D32" s="22"/>
      <c r="E32" s="22"/>
      <c r="F32" s="22"/>
      <c r="G32" s="44"/>
      <c r="H32" s="44"/>
      <c r="I32" s="44"/>
      <c r="J32" s="22"/>
      <c r="K32" s="61"/>
      <c r="L32" s="62"/>
      <c r="M32" s="62"/>
      <c r="N32" s="63" t="str">
        <f t="shared" si="0"/>
        <v/>
      </c>
      <c r="O32" s="44"/>
      <c r="P32" s="22"/>
      <c r="Q32" s="44"/>
      <c r="R32" s="22"/>
      <c r="S32" s="44"/>
    </row>
    <row r="33" spans="1:19" ht="14" x14ac:dyDescent="0.15">
      <c r="A33" s="43" t="s">
        <v>2158</v>
      </c>
      <c r="B33" s="26" t="s">
        <v>2156</v>
      </c>
      <c r="C33" s="19" t="s">
        <v>2159</v>
      </c>
      <c r="D33" s="22"/>
      <c r="E33" s="22"/>
      <c r="F33" s="22"/>
      <c r="G33" s="44"/>
      <c r="H33" s="44"/>
      <c r="I33" s="44"/>
      <c r="J33" s="22"/>
      <c r="K33" s="61"/>
      <c r="L33" s="62"/>
      <c r="M33" s="62"/>
      <c r="N33" s="63" t="str">
        <f t="shared" si="0"/>
        <v/>
      </c>
      <c r="O33" s="44"/>
      <c r="P33" s="22"/>
      <c r="Q33" s="44"/>
      <c r="R33" s="22"/>
      <c r="S33" s="44"/>
    </row>
    <row r="34" spans="1:19" ht="28" x14ac:dyDescent="0.15">
      <c r="A34" s="43" t="s">
        <v>2160</v>
      </c>
      <c r="B34" s="26" t="s">
        <v>2156</v>
      </c>
      <c r="C34" s="19" t="s">
        <v>2161</v>
      </c>
      <c r="D34" s="22"/>
      <c r="E34" s="22"/>
      <c r="F34" s="22"/>
      <c r="G34" s="44"/>
      <c r="H34" s="44"/>
      <c r="I34" s="44"/>
      <c r="J34" s="22"/>
      <c r="K34" s="61"/>
      <c r="L34" s="62"/>
      <c r="M34" s="62"/>
      <c r="N34" s="63" t="str">
        <f t="shared" si="0"/>
        <v/>
      </c>
      <c r="O34" s="44"/>
      <c r="P34" s="22"/>
      <c r="Q34" s="44"/>
      <c r="R34" s="22"/>
      <c r="S34" s="44"/>
    </row>
    <row r="35" spans="1:19" ht="14" x14ac:dyDescent="0.15">
      <c r="A35" s="43" t="s">
        <v>2162</v>
      </c>
      <c r="B35" s="26" t="s">
        <v>2163</v>
      </c>
      <c r="C35" s="19" t="s">
        <v>2164</v>
      </c>
      <c r="D35" s="22"/>
      <c r="E35" s="22"/>
      <c r="F35" s="22"/>
      <c r="G35" s="44"/>
      <c r="H35" s="44"/>
      <c r="I35" s="44"/>
      <c r="J35" s="22"/>
      <c r="K35" s="61"/>
      <c r="L35" s="62"/>
      <c r="M35" s="62"/>
      <c r="N35" s="63" t="str">
        <f t="shared" si="0"/>
        <v/>
      </c>
      <c r="O35" s="44"/>
      <c r="P35" s="22"/>
      <c r="Q35" s="44"/>
      <c r="R35" s="22"/>
      <c r="S35" s="44"/>
    </row>
    <row r="36" spans="1:19" ht="14" x14ac:dyDescent="0.15">
      <c r="A36" s="43" t="s">
        <v>2165</v>
      </c>
      <c r="B36" s="26" t="s">
        <v>2163</v>
      </c>
      <c r="C36" s="19" t="s">
        <v>2166</v>
      </c>
      <c r="D36" s="22"/>
      <c r="E36" s="22"/>
      <c r="F36" s="22"/>
      <c r="G36" s="44"/>
      <c r="H36" s="44"/>
      <c r="I36" s="44"/>
      <c r="J36" s="22"/>
      <c r="K36" s="61"/>
      <c r="L36" s="62"/>
      <c r="M36" s="62"/>
      <c r="N36" s="63" t="str">
        <f t="shared" si="0"/>
        <v/>
      </c>
      <c r="O36" s="44"/>
      <c r="P36" s="22"/>
      <c r="Q36" s="44"/>
      <c r="R36" s="22"/>
      <c r="S36" s="44"/>
    </row>
    <row r="37" spans="1:19" ht="14" x14ac:dyDescent="0.15">
      <c r="A37" s="43" t="s">
        <v>2167</v>
      </c>
      <c r="B37" s="26" t="s">
        <v>2163</v>
      </c>
      <c r="C37" s="19" t="s">
        <v>2168</v>
      </c>
      <c r="D37" s="22"/>
      <c r="E37" s="22"/>
      <c r="F37" s="22"/>
      <c r="G37" s="44"/>
      <c r="H37" s="44"/>
      <c r="I37" s="44"/>
      <c r="J37" s="22"/>
      <c r="K37" s="61"/>
      <c r="L37" s="62"/>
      <c r="M37" s="62"/>
      <c r="N37" s="63" t="str">
        <f t="shared" si="0"/>
        <v/>
      </c>
      <c r="O37" s="44"/>
      <c r="P37" s="22"/>
      <c r="Q37" s="44"/>
      <c r="R37" s="22"/>
      <c r="S37" s="44"/>
    </row>
    <row r="38" spans="1:19" ht="14" x14ac:dyDescent="0.15">
      <c r="A38" s="43" t="s">
        <v>2169</v>
      </c>
      <c r="B38" s="26" t="s">
        <v>2163</v>
      </c>
      <c r="C38" s="19" t="s">
        <v>2170</v>
      </c>
      <c r="D38" s="22"/>
      <c r="E38" s="22"/>
      <c r="F38" s="22"/>
      <c r="G38" s="44"/>
      <c r="H38" s="44"/>
      <c r="I38" s="44"/>
      <c r="J38" s="22"/>
      <c r="K38" s="61"/>
      <c r="L38" s="62"/>
      <c r="M38" s="62"/>
      <c r="N38" s="63" t="str">
        <f t="shared" ref="N38:N69" si="1">IF(AND(ISNUMBER(K38),ISNUMBER(M38),K38&gt;0),M38/K38*1000,"")</f>
        <v/>
      </c>
      <c r="O38" s="44"/>
      <c r="P38" s="22"/>
      <c r="Q38" s="44"/>
      <c r="R38" s="22"/>
      <c r="S38" s="44"/>
    </row>
    <row r="39" spans="1:19" ht="28" x14ac:dyDescent="0.15">
      <c r="A39" s="43" t="s">
        <v>2171</v>
      </c>
      <c r="B39" s="26" t="s">
        <v>2172</v>
      </c>
      <c r="C39" s="19" t="s">
        <v>2173</v>
      </c>
      <c r="D39" s="22"/>
      <c r="E39" s="22"/>
      <c r="F39" s="22"/>
      <c r="G39" s="44"/>
      <c r="H39" s="44"/>
      <c r="I39" s="44"/>
      <c r="J39" s="22"/>
      <c r="K39" s="61"/>
      <c r="L39" s="62"/>
      <c r="M39" s="62"/>
      <c r="N39" s="63" t="str">
        <f t="shared" si="1"/>
        <v/>
      </c>
      <c r="O39" s="44"/>
      <c r="P39" s="22"/>
      <c r="Q39" s="44"/>
      <c r="R39" s="22"/>
      <c r="S39" s="44"/>
    </row>
    <row r="40" spans="1:19" ht="14" x14ac:dyDescent="0.15">
      <c r="A40" s="43" t="s">
        <v>2174</v>
      </c>
      <c r="B40" s="26" t="s">
        <v>2172</v>
      </c>
      <c r="C40" s="19" t="s">
        <v>2175</v>
      </c>
      <c r="D40" s="22"/>
      <c r="E40" s="22"/>
      <c r="F40" s="22"/>
      <c r="G40" s="44"/>
      <c r="H40" s="44"/>
      <c r="I40" s="44"/>
      <c r="J40" s="22"/>
      <c r="K40" s="61"/>
      <c r="L40" s="62"/>
      <c r="M40" s="62"/>
      <c r="N40" s="63" t="str">
        <f t="shared" si="1"/>
        <v/>
      </c>
      <c r="O40" s="44"/>
      <c r="P40" s="22"/>
      <c r="Q40" s="44"/>
      <c r="R40" s="22"/>
      <c r="S40" s="44"/>
    </row>
    <row r="41" spans="1:19" ht="14" x14ac:dyDescent="0.15">
      <c r="A41" s="43" t="s">
        <v>2176</v>
      </c>
      <c r="B41" s="26" t="s">
        <v>2172</v>
      </c>
      <c r="C41" s="19" t="s">
        <v>2177</v>
      </c>
      <c r="D41" s="22"/>
      <c r="E41" s="22"/>
      <c r="F41" s="22"/>
      <c r="G41" s="44"/>
      <c r="H41" s="44"/>
      <c r="I41" s="44"/>
      <c r="J41" s="22"/>
      <c r="K41" s="61"/>
      <c r="L41" s="62"/>
      <c r="M41" s="62"/>
      <c r="N41" s="63" t="str">
        <f t="shared" si="1"/>
        <v/>
      </c>
      <c r="O41" s="44"/>
      <c r="P41" s="22"/>
      <c r="Q41" s="44"/>
      <c r="R41" s="22"/>
      <c r="S41" s="44"/>
    </row>
    <row r="42" spans="1:19" ht="14" x14ac:dyDescent="0.15">
      <c r="A42" s="43" t="s">
        <v>2178</v>
      </c>
      <c r="B42" s="26" t="s">
        <v>2172</v>
      </c>
      <c r="C42" s="19" t="s">
        <v>2179</v>
      </c>
      <c r="D42" s="22"/>
      <c r="E42" s="22"/>
      <c r="F42" s="22"/>
      <c r="G42" s="44"/>
      <c r="H42" s="44"/>
      <c r="I42" s="44"/>
      <c r="J42" s="22"/>
      <c r="K42" s="61"/>
      <c r="L42" s="62"/>
      <c r="M42" s="62"/>
      <c r="N42" s="63" t="str">
        <f t="shared" si="1"/>
        <v/>
      </c>
      <c r="O42" s="44"/>
      <c r="P42" s="22"/>
      <c r="Q42" s="44"/>
      <c r="R42" s="22"/>
      <c r="S42" s="44"/>
    </row>
    <row r="43" spans="1:19" ht="14" x14ac:dyDescent="0.15">
      <c r="A43" s="43" t="s">
        <v>2180</v>
      </c>
      <c r="B43" s="26" t="s">
        <v>2181</v>
      </c>
      <c r="C43" s="19" t="s">
        <v>2182</v>
      </c>
      <c r="D43" s="22"/>
      <c r="E43" s="22"/>
      <c r="F43" s="22"/>
      <c r="G43" s="44"/>
      <c r="H43" s="44"/>
      <c r="I43" s="44"/>
      <c r="J43" s="22"/>
      <c r="K43" s="61"/>
      <c r="L43" s="62"/>
      <c r="M43" s="62"/>
      <c r="N43" s="63" t="str">
        <f t="shared" si="1"/>
        <v/>
      </c>
      <c r="O43" s="44"/>
      <c r="P43" s="22"/>
      <c r="Q43" s="44"/>
      <c r="R43" s="22"/>
      <c r="S43" s="44"/>
    </row>
    <row r="44" spans="1:19" ht="14" x14ac:dyDescent="0.15">
      <c r="A44" s="43" t="s">
        <v>2183</v>
      </c>
      <c r="B44" s="26" t="s">
        <v>2181</v>
      </c>
      <c r="C44" s="19" t="s">
        <v>2184</v>
      </c>
      <c r="D44" s="22"/>
      <c r="E44" s="22"/>
      <c r="F44" s="22"/>
      <c r="G44" s="44"/>
      <c r="H44" s="44"/>
      <c r="I44" s="44"/>
      <c r="J44" s="22"/>
      <c r="K44" s="61"/>
      <c r="L44" s="62"/>
      <c r="M44" s="62"/>
      <c r="N44" s="63" t="str">
        <f t="shared" si="1"/>
        <v/>
      </c>
      <c r="O44" s="44"/>
      <c r="P44" s="22"/>
      <c r="Q44" s="44"/>
      <c r="R44" s="22"/>
      <c r="S44" s="44"/>
    </row>
    <row r="45" spans="1:19" ht="14" x14ac:dyDescent="0.15">
      <c r="A45" s="43" t="s">
        <v>2185</v>
      </c>
      <c r="B45" s="26" t="s">
        <v>2181</v>
      </c>
      <c r="C45" s="19" t="s">
        <v>2186</v>
      </c>
      <c r="D45" s="22"/>
      <c r="E45" s="22"/>
      <c r="F45" s="22"/>
      <c r="G45" s="44"/>
      <c r="H45" s="44"/>
      <c r="I45" s="44"/>
      <c r="J45" s="22"/>
      <c r="K45" s="61"/>
      <c r="L45" s="62"/>
      <c r="M45" s="62"/>
      <c r="N45" s="63" t="str">
        <f t="shared" si="1"/>
        <v/>
      </c>
      <c r="O45" s="44"/>
      <c r="P45" s="22"/>
      <c r="Q45" s="44"/>
      <c r="R45" s="22"/>
      <c r="S45" s="44"/>
    </row>
    <row r="46" spans="1:19" ht="14" x14ac:dyDescent="0.15">
      <c r="A46" s="43" t="s">
        <v>2187</v>
      </c>
      <c r="B46" s="22"/>
      <c r="C46" s="22"/>
      <c r="D46" s="22"/>
      <c r="E46" s="22"/>
      <c r="F46" s="22"/>
      <c r="G46" s="44"/>
      <c r="H46" s="44"/>
      <c r="I46" s="44"/>
      <c r="J46" s="22"/>
      <c r="K46" s="61"/>
      <c r="L46" s="62"/>
      <c r="M46" s="62"/>
      <c r="N46" s="63" t="str">
        <f t="shared" si="1"/>
        <v/>
      </c>
      <c r="O46" s="44"/>
      <c r="P46" s="22"/>
      <c r="Q46" s="44"/>
      <c r="R46" s="22"/>
      <c r="S46" s="44"/>
    </row>
    <row r="47" spans="1:19" ht="14" x14ac:dyDescent="0.15">
      <c r="A47" s="43" t="s">
        <v>2188</v>
      </c>
      <c r="B47" s="22"/>
      <c r="C47" s="22"/>
      <c r="D47" s="22"/>
      <c r="E47" s="22"/>
      <c r="F47" s="22"/>
      <c r="G47" s="44"/>
      <c r="H47" s="44"/>
      <c r="I47" s="44"/>
      <c r="J47" s="22"/>
      <c r="K47" s="61"/>
      <c r="L47" s="62"/>
      <c r="M47" s="62"/>
      <c r="N47" s="63" t="str">
        <f t="shared" si="1"/>
        <v/>
      </c>
      <c r="O47" s="44"/>
      <c r="P47" s="22"/>
      <c r="Q47" s="44"/>
      <c r="R47" s="22"/>
      <c r="S47" s="44"/>
    </row>
    <row r="48" spans="1:19" ht="14" x14ac:dyDescent="0.15">
      <c r="A48" s="43" t="s">
        <v>2189</v>
      </c>
      <c r="B48" s="22"/>
      <c r="C48" s="22"/>
      <c r="D48" s="22"/>
      <c r="E48" s="22"/>
      <c r="F48" s="22"/>
      <c r="G48" s="44"/>
      <c r="H48" s="44"/>
      <c r="I48" s="44"/>
      <c r="J48" s="22"/>
      <c r="K48" s="61"/>
      <c r="L48" s="62"/>
      <c r="M48" s="62"/>
      <c r="N48" s="63" t="str">
        <f t="shared" si="1"/>
        <v/>
      </c>
      <c r="O48" s="44"/>
      <c r="P48" s="22"/>
      <c r="Q48" s="44"/>
      <c r="R48" s="22"/>
      <c r="S48" s="44"/>
    </row>
    <row r="49" spans="1:19" ht="14" x14ac:dyDescent="0.15">
      <c r="A49" s="43" t="s">
        <v>2190</v>
      </c>
      <c r="B49" s="22"/>
      <c r="C49" s="22"/>
      <c r="D49" s="22"/>
      <c r="E49" s="22"/>
      <c r="F49" s="22"/>
      <c r="G49" s="44"/>
      <c r="H49" s="44"/>
      <c r="I49" s="44"/>
      <c r="J49" s="22"/>
      <c r="K49" s="61"/>
      <c r="L49" s="62"/>
      <c r="M49" s="62"/>
      <c r="N49" s="63" t="str">
        <f t="shared" si="1"/>
        <v/>
      </c>
      <c r="O49" s="44"/>
      <c r="P49" s="22"/>
      <c r="Q49" s="44"/>
      <c r="R49" s="22"/>
      <c r="S49" s="44"/>
    </row>
    <row r="50" spans="1:19" ht="14" x14ac:dyDescent="0.15">
      <c r="A50" s="43" t="s">
        <v>2191</v>
      </c>
      <c r="B50" s="22"/>
      <c r="C50" s="22"/>
      <c r="D50" s="22"/>
      <c r="E50" s="22"/>
      <c r="F50" s="22"/>
      <c r="G50" s="44"/>
      <c r="H50" s="44"/>
      <c r="I50" s="44"/>
      <c r="J50" s="22"/>
      <c r="K50" s="61"/>
      <c r="L50" s="62"/>
      <c r="M50" s="62"/>
      <c r="N50" s="63" t="str">
        <f t="shared" si="1"/>
        <v/>
      </c>
      <c r="O50" s="44"/>
      <c r="P50" s="22"/>
      <c r="Q50" s="44"/>
      <c r="R50" s="22"/>
      <c r="S50" s="44"/>
    </row>
    <row r="51" spans="1:19" ht="14" x14ac:dyDescent="0.15">
      <c r="A51" s="43" t="s">
        <v>2192</v>
      </c>
      <c r="B51" s="22"/>
      <c r="C51" s="22"/>
      <c r="D51" s="22"/>
      <c r="E51" s="22"/>
      <c r="F51" s="22"/>
      <c r="G51" s="44"/>
      <c r="H51" s="44"/>
      <c r="I51" s="44"/>
      <c r="J51" s="22"/>
      <c r="K51" s="61"/>
      <c r="L51" s="62"/>
      <c r="M51" s="62"/>
      <c r="N51" s="63" t="str">
        <f t="shared" si="1"/>
        <v/>
      </c>
      <c r="O51" s="44"/>
      <c r="P51" s="22"/>
      <c r="Q51" s="44"/>
      <c r="R51" s="22"/>
      <c r="S51" s="44"/>
    </row>
    <row r="52" spans="1:19" ht="14" x14ac:dyDescent="0.15">
      <c r="A52" s="43" t="s">
        <v>2193</v>
      </c>
      <c r="B52" s="22"/>
      <c r="C52" s="22"/>
      <c r="D52" s="22"/>
      <c r="E52" s="22"/>
      <c r="F52" s="22"/>
      <c r="G52" s="44"/>
      <c r="H52" s="44"/>
      <c r="I52" s="44"/>
      <c r="J52" s="22"/>
      <c r="K52" s="61"/>
      <c r="L52" s="62"/>
      <c r="M52" s="62"/>
      <c r="N52" s="63" t="str">
        <f t="shared" si="1"/>
        <v/>
      </c>
      <c r="O52" s="44"/>
      <c r="P52" s="22"/>
      <c r="Q52" s="44"/>
      <c r="R52" s="22"/>
      <c r="S52" s="44"/>
    </row>
    <row r="53" spans="1:19" ht="14" x14ac:dyDescent="0.15">
      <c r="A53" s="43" t="s">
        <v>2194</v>
      </c>
      <c r="B53" s="22"/>
      <c r="C53" s="22"/>
      <c r="D53" s="22"/>
      <c r="E53" s="22"/>
      <c r="F53" s="22"/>
      <c r="G53" s="44"/>
      <c r="H53" s="44"/>
      <c r="I53" s="44"/>
      <c r="J53" s="22"/>
      <c r="K53" s="61"/>
      <c r="L53" s="62"/>
      <c r="M53" s="62"/>
      <c r="N53" s="63" t="str">
        <f t="shared" si="1"/>
        <v/>
      </c>
      <c r="O53" s="44"/>
      <c r="P53" s="22"/>
      <c r="Q53" s="44"/>
      <c r="R53" s="22"/>
      <c r="S53" s="44"/>
    </row>
    <row r="54" spans="1:19" ht="14" x14ac:dyDescent="0.15">
      <c r="A54" s="43" t="s">
        <v>2195</v>
      </c>
      <c r="B54" s="22"/>
      <c r="C54" s="22"/>
      <c r="D54" s="22"/>
      <c r="E54" s="22"/>
      <c r="F54" s="22"/>
      <c r="G54" s="44"/>
      <c r="H54" s="44"/>
      <c r="I54" s="44"/>
      <c r="J54" s="22"/>
      <c r="K54" s="61"/>
      <c r="L54" s="62"/>
      <c r="M54" s="62"/>
      <c r="N54" s="63" t="str">
        <f t="shared" si="1"/>
        <v/>
      </c>
      <c r="O54" s="44"/>
      <c r="P54" s="22"/>
      <c r="Q54" s="44"/>
      <c r="R54" s="22"/>
      <c r="S54" s="44"/>
    </row>
    <row r="55" spans="1:19" ht="14" x14ac:dyDescent="0.15">
      <c r="A55" s="43" t="s">
        <v>2196</v>
      </c>
      <c r="B55" s="22"/>
      <c r="C55" s="22"/>
      <c r="D55" s="22"/>
      <c r="E55" s="22"/>
      <c r="F55" s="22"/>
      <c r="G55" s="44"/>
      <c r="H55" s="44"/>
      <c r="I55" s="44"/>
      <c r="J55" s="22"/>
      <c r="K55" s="61"/>
      <c r="L55" s="62"/>
      <c r="M55" s="62"/>
      <c r="N55" s="63" t="str">
        <f t="shared" si="1"/>
        <v/>
      </c>
      <c r="O55" s="44"/>
      <c r="P55" s="22"/>
      <c r="Q55" s="44"/>
      <c r="R55" s="22"/>
      <c r="S55" s="44"/>
    </row>
    <row r="56" spans="1:19" ht="14" x14ac:dyDescent="0.15">
      <c r="A56" s="43" t="s">
        <v>2197</v>
      </c>
      <c r="B56" s="22"/>
      <c r="C56" s="22"/>
      <c r="D56" s="22"/>
      <c r="E56" s="22"/>
      <c r="F56" s="22"/>
      <c r="G56" s="44"/>
      <c r="H56" s="44"/>
      <c r="I56" s="44"/>
      <c r="J56" s="22"/>
      <c r="K56" s="61"/>
      <c r="L56" s="62"/>
      <c r="M56" s="62"/>
      <c r="N56" s="63" t="str">
        <f t="shared" si="1"/>
        <v/>
      </c>
      <c r="O56" s="44"/>
      <c r="P56" s="22"/>
      <c r="Q56" s="44"/>
      <c r="R56" s="22"/>
      <c r="S56" s="44"/>
    </row>
    <row r="57" spans="1:19" ht="14" x14ac:dyDescent="0.15">
      <c r="A57" s="43" t="s">
        <v>2198</v>
      </c>
      <c r="B57" s="22"/>
      <c r="C57" s="22"/>
      <c r="D57" s="22"/>
      <c r="E57" s="22"/>
      <c r="F57" s="22"/>
      <c r="G57" s="44"/>
      <c r="H57" s="44"/>
      <c r="I57" s="44"/>
      <c r="J57" s="22"/>
      <c r="K57" s="61"/>
      <c r="L57" s="62"/>
      <c r="M57" s="62"/>
      <c r="N57" s="63" t="str">
        <f t="shared" si="1"/>
        <v/>
      </c>
      <c r="O57" s="44"/>
      <c r="P57" s="22"/>
      <c r="Q57" s="44"/>
      <c r="R57" s="22"/>
      <c r="S57" s="44"/>
    </row>
    <row r="58" spans="1:19" ht="14" x14ac:dyDescent="0.15">
      <c r="A58" s="43" t="s">
        <v>2199</v>
      </c>
      <c r="B58" s="22"/>
      <c r="C58" s="22"/>
      <c r="D58" s="22"/>
      <c r="E58" s="22"/>
      <c r="F58" s="22"/>
      <c r="G58" s="44"/>
      <c r="H58" s="44"/>
      <c r="I58" s="44"/>
      <c r="J58" s="22"/>
      <c r="K58" s="61"/>
      <c r="L58" s="62"/>
      <c r="M58" s="62"/>
      <c r="N58" s="63" t="str">
        <f t="shared" si="1"/>
        <v/>
      </c>
      <c r="O58" s="44"/>
      <c r="P58" s="22"/>
      <c r="Q58" s="44"/>
      <c r="R58" s="22"/>
      <c r="S58" s="44"/>
    </row>
    <row r="59" spans="1:19" ht="14" x14ac:dyDescent="0.15">
      <c r="A59" s="43" t="s">
        <v>2200</v>
      </c>
      <c r="B59" s="22"/>
      <c r="C59" s="22"/>
      <c r="D59" s="22"/>
      <c r="E59" s="22"/>
      <c r="F59" s="22"/>
      <c r="G59" s="44"/>
      <c r="H59" s="44"/>
      <c r="I59" s="44"/>
      <c r="J59" s="22"/>
      <c r="K59" s="61"/>
      <c r="L59" s="62"/>
      <c r="M59" s="62"/>
      <c r="N59" s="63" t="str">
        <f t="shared" si="1"/>
        <v/>
      </c>
      <c r="O59" s="44"/>
      <c r="P59" s="22"/>
      <c r="Q59" s="44"/>
      <c r="R59" s="22"/>
      <c r="S59" s="44"/>
    </row>
    <row r="60" spans="1:19" ht="14" x14ac:dyDescent="0.15">
      <c r="A60" s="43" t="s">
        <v>2201</v>
      </c>
      <c r="B60" s="22"/>
      <c r="C60" s="22"/>
      <c r="D60" s="22"/>
      <c r="E60" s="22"/>
      <c r="F60" s="22"/>
      <c r="G60" s="44"/>
      <c r="H60" s="44"/>
      <c r="I60" s="44"/>
      <c r="J60" s="22"/>
      <c r="K60" s="61"/>
      <c r="L60" s="62"/>
      <c r="M60" s="62"/>
      <c r="N60" s="63" t="str">
        <f t="shared" si="1"/>
        <v/>
      </c>
      <c r="O60" s="44"/>
      <c r="P60" s="22"/>
      <c r="Q60" s="44"/>
      <c r="R60" s="22"/>
      <c r="S60" s="44"/>
    </row>
    <row r="61" spans="1:19" ht="14" x14ac:dyDescent="0.15">
      <c r="A61" s="43" t="s">
        <v>2202</v>
      </c>
      <c r="B61" s="22"/>
      <c r="C61" s="22"/>
      <c r="D61" s="22"/>
      <c r="E61" s="22"/>
      <c r="F61" s="22"/>
      <c r="G61" s="44"/>
      <c r="H61" s="44"/>
      <c r="I61" s="44"/>
      <c r="J61" s="22"/>
      <c r="K61" s="61"/>
      <c r="L61" s="62"/>
      <c r="M61" s="62"/>
      <c r="N61" s="63" t="str">
        <f t="shared" si="1"/>
        <v/>
      </c>
      <c r="O61" s="44"/>
      <c r="P61" s="22"/>
      <c r="Q61" s="44"/>
      <c r="R61" s="22"/>
      <c r="S61" s="44"/>
    </row>
    <row r="62" spans="1:19" ht="14" x14ac:dyDescent="0.15">
      <c r="A62" s="43" t="s">
        <v>2203</v>
      </c>
      <c r="B62" s="22"/>
      <c r="C62" s="22"/>
      <c r="D62" s="22"/>
      <c r="E62" s="22"/>
      <c r="F62" s="22"/>
      <c r="G62" s="44"/>
      <c r="H62" s="44"/>
      <c r="I62" s="44"/>
      <c r="J62" s="22"/>
      <c r="K62" s="61"/>
      <c r="L62" s="62"/>
      <c r="M62" s="62"/>
      <c r="N62" s="63" t="str">
        <f t="shared" si="1"/>
        <v/>
      </c>
      <c r="O62" s="44"/>
      <c r="P62" s="22"/>
      <c r="Q62" s="44"/>
      <c r="R62" s="22"/>
      <c r="S62" s="44"/>
    </row>
    <row r="63" spans="1:19" ht="14" x14ac:dyDescent="0.15">
      <c r="A63" s="43" t="s">
        <v>2204</v>
      </c>
      <c r="B63" s="22"/>
      <c r="C63" s="22"/>
      <c r="D63" s="22"/>
      <c r="E63" s="22"/>
      <c r="F63" s="22"/>
      <c r="G63" s="44"/>
      <c r="H63" s="44"/>
      <c r="I63" s="44"/>
      <c r="J63" s="22"/>
      <c r="K63" s="61"/>
      <c r="L63" s="62"/>
      <c r="M63" s="62"/>
      <c r="N63" s="63" t="str">
        <f t="shared" si="1"/>
        <v/>
      </c>
      <c r="O63" s="44"/>
      <c r="P63" s="22"/>
      <c r="Q63" s="44"/>
      <c r="R63" s="22"/>
      <c r="S63" s="44"/>
    </row>
    <row r="64" spans="1:19" ht="14" x14ac:dyDescent="0.15">
      <c r="A64" s="43" t="s">
        <v>2205</v>
      </c>
      <c r="B64" s="22"/>
      <c r="C64" s="22"/>
      <c r="D64" s="22"/>
      <c r="E64" s="22"/>
      <c r="F64" s="22"/>
      <c r="G64" s="44"/>
      <c r="H64" s="44"/>
      <c r="I64" s="44"/>
      <c r="J64" s="22"/>
      <c r="K64" s="61"/>
      <c r="L64" s="62"/>
      <c r="M64" s="62"/>
      <c r="N64" s="63" t="str">
        <f t="shared" si="1"/>
        <v/>
      </c>
      <c r="O64" s="44"/>
      <c r="P64" s="22"/>
      <c r="Q64" s="44"/>
      <c r="R64" s="22"/>
      <c r="S64" s="44"/>
    </row>
    <row r="65" spans="1:19" ht="14" x14ac:dyDescent="0.15">
      <c r="A65" s="43" t="s">
        <v>2206</v>
      </c>
      <c r="B65" s="22"/>
      <c r="C65" s="22"/>
      <c r="D65" s="22"/>
      <c r="E65" s="22"/>
      <c r="F65" s="22"/>
      <c r="G65" s="44"/>
      <c r="H65" s="44"/>
      <c r="I65" s="44"/>
      <c r="J65" s="22"/>
      <c r="K65" s="61"/>
      <c r="L65" s="62"/>
      <c r="M65" s="62"/>
      <c r="N65" s="63" t="str">
        <f t="shared" si="1"/>
        <v/>
      </c>
      <c r="O65" s="44"/>
      <c r="P65" s="22"/>
      <c r="Q65" s="44"/>
      <c r="R65" s="22"/>
      <c r="S65" s="44"/>
    </row>
  </sheetData>
  <autoFilter ref="A5:S65" xr:uid="{00000000-0009-0000-0000-000009000000}"/>
  <conditionalFormatting sqref="G6:H65">
    <cfRule type="cellIs" dxfId="52" priority="3" operator="equal">
      <formula>"No"</formula>
    </cfRule>
    <cfRule type="cellIs" dxfId="51" priority="4" operator="equal">
      <formula>"Partial"</formula>
    </cfRule>
    <cfRule type="cellIs" dxfId="50" priority="5" operator="equal">
      <formula>"Yes"</formula>
    </cfRule>
  </conditionalFormatting>
  <conditionalFormatting sqref="Q6:Q65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ageMargins left="0.4" right="0.4" top="0.5" bottom="0.5" header="0.511811023622047" footer="0.5"/>
  <pageSetup paperSize="9" fitToHeight="0" orientation="landscape" horizontalDpi="300" verticalDpi="300"/>
  <headerFooter>
    <oddFooter>&amp;L&amp;8 CTO Consulting | Operating Model Assessment Toolkit&amp;R&amp;8 &amp;A | 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 entry" error="Please select a value from the list (values are maintained on the Lists tab)." xr:uid="{00000000-0002-0000-0900-000000000000}">
          <x14:formula1>
            <xm:f>Lists!$G$2:$G$4</xm:f>
          </x14:formula1>
          <x14:formula2>
            <xm:f>0</xm:f>
          </x14:formula2>
          <xm:sqref>G6:H65</xm:sqref>
        </x14:dataValidation>
        <x14:dataValidation type="list" allowBlank="1" showErrorMessage="1" errorTitle="Invalid entry" error="Please select a value from the list (values are maintained on the Lists tab)." xr:uid="{00000000-0002-0000-0900-000001000000}">
          <x14:formula1>
            <xm:f>Lists!$S$2:$S$4</xm:f>
          </x14:formula1>
          <x14:formula2>
            <xm:f>0</xm:f>
          </x14:formula2>
          <xm:sqref>I6:I65</xm:sqref>
        </x14:dataValidation>
        <x14:dataValidation type="list" allowBlank="1" showErrorMessage="1" errorTitle="Invalid entry" error="Please select a value from the list (values are maintained on the Lists tab)." xr:uid="{00000000-0002-0000-0900-000002000000}">
          <x14:formula1>
            <xm:f>Lists!$B$2:$B$7</xm:f>
          </x14:formula1>
          <x14:formula2>
            <xm:f>0</xm:f>
          </x14:formula2>
          <xm:sqref>Q6:Q65</xm:sqref>
        </x14:dataValidation>
        <x14:dataValidation type="list" allowBlank="1" showErrorMessage="1" errorTitle="Invalid entry" error="Please select a value from the list (values are maintained on the Lists tab)." xr:uid="{00000000-0002-0000-0900-000003000000}">
          <x14:formula1>
            <xm:f>Lists!$D$2:$D$4</xm:f>
          </x14:formula1>
          <x14:formula2>
            <xm:f>0</xm:f>
          </x14:formula2>
          <xm:sqref>S6:S65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E75B6"/>
    <pageSetUpPr fitToPage="1"/>
  </sheetPr>
  <dimension ref="A1:T37"/>
  <sheetViews>
    <sheetView showGridLines="0" tabSelected="1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8.6640625" defaultRowHeight="13" x14ac:dyDescent="0.15"/>
  <cols>
    <col min="1" max="1" width="9" customWidth="1"/>
    <col min="2" max="2" width="24" customWidth="1"/>
    <col min="3" max="3" width="22" customWidth="1"/>
    <col min="4" max="4" width="24" customWidth="1"/>
    <col min="5" max="8" width="11" customWidth="1"/>
    <col min="9" max="9" width="10" customWidth="1"/>
    <col min="10" max="10" width="12" customWidth="1"/>
    <col min="11" max="11" width="11" customWidth="1"/>
    <col min="12" max="12" width="12" customWidth="1"/>
    <col min="13" max="14" width="10" customWidth="1"/>
    <col min="15" max="15" width="15" customWidth="1"/>
    <col min="16" max="16" width="17" customWidth="1"/>
    <col min="17" max="17" width="15" customWidth="1"/>
    <col min="18" max="18" width="14" customWidth="1"/>
    <col min="19" max="19" width="10" customWidth="1"/>
    <col min="20" max="20" width="34" customWidth="1"/>
  </cols>
  <sheetData>
    <row r="1" spans="1:20" ht="27.75" customHeight="1" x14ac:dyDescent="0.15">
      <c r="A1" s="33" t="s">
        <v>2207</v>
      </c>
    </row>
    <row r="2" spans="1:20" x14ac:dyDescent="0.15">
      <c r="A2" s="34" t="s">
        <v>2208</v>
      </c>
    </row>
    <row r="3" spans="1:20" x14ac:dyDescent="0.15">
      <c r="A3" s="38" t="s">
        <v>423</v>
      </c>
    </row>
    <row r="5" spans="1:20" ht="48" customHeight="1" x14ac:dyDescent="0.15">
      <c r="A5" s="20" t="s">
        <v>424</v>
      </c>
      <c r="B5" s="20" t="s">
        <v>2209</v>
      </c>
      <c r="C5" s="20" t="s">
        <v>2210</v>
      </c>
      <c r="D5" s="20" t="s">
        <v>2211</v>
      </c>
      <c r="E5" s="20" t="s">
        <v>2212</v>
      </c>
      <c r="F5" s="20" t="s">
        <v>2213</v>
      </c>
      <c r="G5" s="20" t="s">
        <v>2214</v>
      </c>
      <c r="H5" s="20" t="s">
        <v>2215</v>
      </c>
      <c r="I5" s="20" t="s">
        <v>2216</v>
      </c>
      <c r="J5" s="20" t="s">
        <v>2217</v>
      </c>
      <c r="K5" s="20" t="s">
        <v>2218</v>
      </c>
      <c r="L5" s="20" t="s">
        <v>2219</v>
      </c>
      <c r="M5" s="20" t="s">
        <v>2220</v>
      </c>
      <c r="N5" s="20" t="s">
        <v>2221</v>
      </c>
      <c r="O5" s="20" t="s">
        <v>2222</v>
      </c>
      <c r="P5" s="20" t="s">
        <v>2223</v>
      </c>
      <c r="Q5" s="20" t="s">
        <v>2224</v>
      </c>
      <c r="R5" s="20" t="s">
        <v>2225</v>
      </c>
      <c r="S5" s="20" t="s">
        <v>2226</v>
      </c>
      <c r="T5" s="20" t="s">
        <v>1888</v>
      </c>
    </row>
    <row r="6" spans="1:20" ht="28" x14ac:dyDescent="0.15">
      <c r="A6" s="39" t="s">
        <v>436</v>
      </c>
      <c r="B6" s="25" t="s">
        <v>2227</v>
      </c>
      <c r="C6" s="25" t="s">
        <v>2228</v>
      </c>
      <c r="D6" s="25" t="s">
        <v>2229</v>
      </c>
      <c r="E6" s="64">
        <v>182</v>
      </c>
      <c r="F6" s="64">
        <v>12</v>
      </c>
      <c r="G6" s="64">
        <v>9</v>
      </c>
      <c r="H6" s="64">
        <v>25</v>
      </c>
      <c r="I6" s="65">
        <f t="shared" ref="I6:I36" si="0">IF(COUNT(E6:H6)=0,"",SUM(E6:H6))</f>
        <v>228</v>
      </c>
      <c r="J6" s="66">
        <f t="shared" ref="J6:J36" si="1">IF(AND(ISNUMBER(I6),I6&gt;0),(G6+H6)/I6,"")</f>
        <v>0.14912280701754385</v>
      </c>
      <c r="K6" s="40">
        <v>14</v>
      </c>
      <c r="L6" s="40">
        <v>5</v>
      </c>
      <c r="M6" s="67">
        <f t="shared" ref="M6:M36" si="2">IF(AND(ISNUMBER(K6),K6&gt;0),(E6+F6+G6-1)/K6,"")</f>
        <v>14.428571428571429</v>
      </c>
      <c r="N6" s="68" t="str">
        <f>IFERROR(INDEX(Lists!$AF$2:$AF$5,MATCH(D6,Lists!$AE$2:$AE$5,0))&amp;"–"&amp;INDEX(Lists!$AG$2:$AG$5,MATCH(D6,Lists!$AE$2:$AE$5,0)),"")</f>
        <v>11–15</v>
      </c>
      <c r="O6" s="68" t="str">
        <f>IFERROR(IF(OR(M6="",D6=""),"",IF(M6&lt;INDEX(Lists!$AF$2:$AF$5,MATCH(D6,Lists!$AE$2:$AE$5,0)),"Below range",IF(M6&gt;INDEX(Lists!$AG$2:$AG$5,MATCH(D6,Lists!$AE$2:$AE$5,0)),"Above range","Within range"))),"")</f>
        <v>Within range</v>
      </c>
      <c r="P6" s="68" t="str">
        <f>IF(ISNUMBER(L6),IF(L6&gt;Engagement!$C$43,"Exceeds maximum","Within maximum"),"")</f>
        <v>Within maximum</v>
      </c>
      <c r="Q6" s="69">
        <v>21450000</v>
      </c>
      <c r="R6" s="70">
        <f t="shared" ref="R6:R36" si="3">IF(AND(ISNUMBER(Q6),(E6+F6)&gt;0),Q6/(E6+F6),"")</f>
        <v>110567.01030927835</v>
      </c>
      <c r="S6" s="40">
        <v>8</v>
      </c>
      <c r="T6" s="25" t="s">
        <v>2230</v>
      </c>
    </row>
    <row r="7" spans="1:20" ht="14" x14ac:dyDescent="0.15">
      <c r="A7" s="43" t="s">
        <v>2231</v>
      </c>
      <c r="B7" s="22"/>
      <c r="C7" s="22"/>
      <c r="D7" s="22"/>
      <c r="E7" s="71"/>
      <c r="F7" s="71"/>
      <c r="G7" s="71"/>
      <c r="H7" s="71"/>
      <c r="I7" s="72" t="str">
        <f t="shared" si="0"/>
        <v/>
      </c>
      <c r="J7" s="73" t="str">
        <f t="shared" si="1"/>
        <v/>
      </c>
      <c r="K7" s="44"/>
      <c r="L7" s="44"/>
      <c r="M7" s="74" t="str">
        <f t="shared" si="2"/>
        <v/>
      </c>
      <c r="N7" s="57" t="str">
        <f>IFERROR(INDEX(Lists!$AF$2:$AF$5,MATCH(D7,Lists!$AE$2:$AE$5,0))&amp;"–"&amp;INDEX(Lists!$AG$2:$AG$5,MATCH(D7,Lists!$AE$2:$AE$5,0)),"")</f>
        <v/>
      </c>
      <c r="O7" s="57" t="str">
        <f>IFERROR(IF(OR(M7="",D7=""),"",IF(M7&lt;INDEX(Lists!$AF$2:$AF$5,MATCH(D7,Lists!$AE$2:$AE$5,0)),"Below range",IF(M7&gt;INDEX(Lists!$AG$2:$AG$5,MATCH(D7,Lists!$AE$2:$AE$5,0)),"Above range","Within range"))),"")</f>
        <v/>
      </c>
      <c r="P7" s="57" t="str">
        <f>IF(ISNUMBER(L7),IF(L7&gt;Engagement!$C$43,"Exceeds maximum","Within maximum"),"")</f>
        <v/>
      </c>
      <c r="Q7" s="75"/>
      <c r="R7" s="76" t="str">
        <f t="shared" si="3"/>
        <v/>
      </c>
      <c r="S7" s="44"/>
      <c r="T7" s="22"/>
    </row>
    <row r="8" spans="1:20" ht="14" x14ac:dyDescent="0.15">
      <c r="A8" s="43" t="s">
        <v>2232</v>
      </c>
      <c r="B8" s="22"/>
      <c r="C8" s="22"/>
      <c r="D8" s="22"/>
      <c r="E8" s="71"/>
      <c r="F8" s="71"/>
      <c r="G8" s="71"/>
      <c r="H8" s="71"/>
      <c r="I8" s="72" t="str">
        <f t="shared" si="0"/>
        <v/>
      </c>
      <c r="J8" s="73" t="str">
        <f t="shared" si="1"/>
        <v/>
      </c>
      <c r="K8" s="44"/>
      <c r="L8" s="44"/>
      <c r="M8" s="74" t="str">
        <f t="shared" si="2"/>
        <v/>
      </c>
      <c r="N8" s="57" t="str">
        <f>IFERROR(INDEX(Lists!$AF$2:$AF$5,MATCH(D8,Lists!$AE$2:$AE$5,0))&amp;"–"&amp;INDEX(Lists!$AG$2:$AG$5,MATCH(D8,Lists!$AE$2:$AE$5,0)),"")</f>
        <v/>
      </c>
      <c r="O8" s="57" t="str">
        <f>IFERROR(IF(OR(M8="",D8=""),"",IF(M8&lt;INDEX(Lists!$AF$2:$AF$5,MATCH(D8,Lists!$AE$2:$AE$5,0)),"Below range",IF(M8&gt;INDEX(Lists!$AG$2:$AG$5,MATCH(D8,Lists!$AE$2:$AE$5,0)),"Above range","Within range"))),"")</f>
        <v/>
      </c>
      <c r="P8" s="57" t="str">
        <f>IF(ISNUMBER(L8),IF(L8&gt;Engagement!$C$43,"Exceeds maximum","Within maximum"),"")</f>
        <v/>
      </c>
      <c r="Q8" s="75"/>
      <c r="R8" s="76" t="str">
        <f t="shared" si="3"/>
        <v/>
      </c>
      <c r="S8" s="44"/>
      <c r="T8" s="22"/>
    </row>
    <row r="9" spans="1:20" ht="14" x14ac:dyDescent="0.15">
      <c r="A9" s="43" t="s">
        <v>2233</v>
      </c>
      <c r="B9" s="22"/>
      <c r="C9" s="22"/>
      <c r="D9" s="22"/>
      <c r="E9" s="71"/>
      <c r="F9" s="71"/>
      <c r="G9" s="71"/>
      <c r="H9" s="71"/>
      <c r="I9" s="72" t="str">
        <f t="shared" si="0"/>
        <v/>
      </c>
      <c r="J9" s="73" t="str">
        <f t="shared" si="1"/>
        <v/>
      </c>
      <c r="K9" s="44"/>
      <c r="L9" s="44"/>
      <c r="M9" s="74" t="str">
        <f t="shared" si="2"/>
        <v/>
      </c>
      <c r="N9" s="57" t="str">
        <f>IFERROR(INDEX(Lists!$AF$2:$AF$5,MATCH(D9,Lists!$AE$2:$AE$5,0))&amp;"–"&amp;INDEX(Lists!$AG$2:$AG$5,MATCH(D9,Lists!$AE$2:$AE$5,0)),"")</f>
        <v/>
      </c>
      <c r="O9" s="57" t="str">
        <f>IFERROR(IF(OR(M9="",D9=""),"",IF(M9&lt;INDEX(Lists!$AF$2:$AF$5,MATCH(D9,Lists!$AE$2:$AE$5,0)),"Below range",IF(M9&gt;INDEX(Lists!$AG$2:$AG$5,MATCH(D9,Lists!$AE$2:$AE$5,0)),"Above range","Within range"))),"")</f>
        <v/>
      </c>
      <c r="P9" s="57" t="str">
        <f>IF(ISNUMBER(L9),IF(L9&gt;Engagement!$C$43,"Exceeds maximum","Within maximum"),"")</f>
        <v/>
      </c>
      <c r="Q9" s="75"/>
      <c r="R9" s="76" t="str">
        <f t="shared" si="3"/>
        <v/>
      </c>
      <c r="S9" s="44"/>
      <c r="T9" s="22"/>
    </row>
    <row r="10" spans="1:20" ht="14" x14ac:dyDescent="0.15">
      <c r="A10" s="43" t="s">
        <v>2234</v>
      </c>
      <c r="B10" s="22"/>
      <c r="C10" s="22"/>
      <c r="D10" s="22"/>
      <c r="E10" s="71"/>
      <c r="F10" s="71"/>
      <c r="G10" s="71"/>
      <c r="H10" s="71"/>
      <c r="I10" s="72" t="str">
        <f t="shared" si="0"/>
        <v/>
      </c>
      <c r="J10" s="73" t="str">
        <f t="shared" si="1"/>
        <v/>
      </c>
      <c r="K10" s="44"/>
      <c r="L10" s="44"/>
      <c r="M10" s="74" t="str">
        <f t="shared" si="2"/>
        <v/>
      </c>
      <c r="N10" s="57" t="str">
        <f>IFERROR(INDEX(Lists!$AF$2:$AF$5,MATCH(D10,Lists!$AE$2:$AE$5,0))&amp;"–"&amp;INDEX(Lists!$AG$2:$AG$5,MATCH(D10,Lists!$AE$2:$AE$5,0)),"")</f>
        <v/>
      </c>
      <c r="O10" s="57" t="str">
        <f>IFERROR(IF(OR(M10="",D10=""),"",IF(M10&lt;INDEX(Lists!$AF$2:$AF$5,MATCH(D10,Lists!$AE$2:$AE$5,0)),"Below range",IF(M10&gt;INDEX(Lists!$AG$2:$AG$5,MATCH(D10,Lists!$AE$2:$AE$5,0)),"Above range","Within range"))),"")</f>
        <v/>
      </c>
      <c r="P10" s="57" t="str">
        <f>IF(ISNUMBER(L10),IF(L10&gt;Engagement!$C$43,"Exceeds maximum","Within maximum"),"")</f>
        <v/>
      </c>
      <c r="Q10" s="75"/>
      <c r="R10" s="76" t="str">
        <f t="shared" si="3"/>
        <v/>
      </c>
      <c r="S10" s="44"/>
      <c r="T10" s="22"/>
    </row>
    <row r="11" spans="1:20" ht="14" x14ac:dyDescent="0.15">
      <c r="A11" s="43" t="s">
        <v>2235</v>
      </c>
      <c r="B11" s="22"/>
      <c r="C11" s="22"/>
      <c r="D11" s="22"/>
      <c r="E11" s="71"/>
      <c r="F11" s="71"/>
      <c r="G11" s="71"/>
      <c r="H11" s="71"/>
      <c r="I11" s="72" t="str">
        <f t="shared" si="0"/>
        <v/>
      </c>
      <c r="J11" s="73" t="str">
        <f t="shared" si="1"/>
        <v/>
      </c>
      <c r="K11" s="44"/>
      <c r="L11" s="44"/>
      <c r="M11" s="74" t="str">
        <f t="shared" si="2"/>
        <v/>
      </c>
      <c r="N11" s="57" t="str">
        <f>IFERROR(INDEX(Lists!$AF$2:$AF$5,MATCH(D11,Lists!$AE$2:$AE$5,0))&amp;"–"&amp;INDEX(Lists!$AG$2:$AG$5,MATCH(D11,Lists!$AE$2:$AE$5,0)),"")</f>
        <v/>
      </c>
      <c r="O11" s="57" t="str">
        <f>IFERROR(IF(OR(M11="",D11=""),"",IF(M11&lt;INDEX(Lists!$AF$2:$AF$5,MATCH(D11,Lists!$AE$2:$AE$5,0)),"Below range",IF(M11&gt;INDEX(Lists!$AG$2:$AG$5,MATCH(D11,Lists!$AE$2:$AE$5,0)),"Above range","Within range"))),"")</f>
        <v/>
      </c>
      <c r="P11" s="57" t="str">
        <f>IF(ISNUMBER(L11),IF(L11&gt;Engagement!$C$43,"Exceeds maximum","Within maximum"),"")</f>
        <v/>
      </c>
      <c r="Q11" s="75"/>
      <c r="R11" s="76" t="str">
        <f t="shared" si="3"/>
        <v/>
      </c>
      <c r="S11" s="44"/>
      <c r="T11" s="22"/>
    </row>
    <row r="12" spans="1:20" ht="14" x14ac:dyDescent="0.15">
      <c r="A12" s="43" t="s">
        <v>2236</v>
      </c>
      <c r="B12" s="22"/>
      <c r="C12" s="22"/>
      <c r="D12" s="22"/>
      <c r="E12" s="71"/>
      <c r="F12" s="71"/>
      <c r="G12" s="71"/>
      <c r="H12" s="71"/>
      <c r="I12" s="72" t="str">
        <f t="shared" si="0"/>
        <v/>
      </c>
      <c r="J12" s="73" t="str">
        <f t="shared" si="1"/>
        <v/>
      </c>
      <c r="K12" s="44"/>
      <c r="L12" s="44"/>
      <c r="M12" s="74" t="str">
        <f t="shared" si="2"/>
        <v/>
      </c>
      <c r="N12" s="57" t="str">
        <f>IFERROR(INDEX(Lists!$AF$2:$AF$5,MATCH(D12,Lists!$AE$2:$AE$5,0))&amp;"–"&amp;INDEX(Lists!$AG$2:$AG$5,MATCH(D12,Lists!$AE$2:$AE$5,0)),"")</f>
        <v/>
      </c>
      <c r="O12" s="57" t="str">
        <f>IFERROR(IF(OR(M12="",D12=""),"",IF(M12&lt;INDEX(Lists!$AF$2:$AF$5,MATCH(D12,Lists!$AE$2:$AE$5,0)),"Below range",IF(M12&gt;INDEX(Lists!$AG$2:$AG$5,MATCH(D12,Lists!$AE$2:$AE$5,0)),"Above range","Within range"))),"")</f>
        <v/>
      </c>
      <c r="P12" s="57" t="str">
        <f>IF(ISNUMBER(L12),IF(L12&gt;Engagement!$C$43,"Exceeds maximum","Within maximum"),"")</f>
        <v/>
      </c>
      <c r="Q12" s="75"/>
      <c r="R12" s="76" t="str">
        <f t="shared" si="3"/>
        <v/>
      </c>
      <c r="S12" s="44"/>
      <c r="T12" s="22"/>
    </row>
    <row r="13" spans="1:20" ht="14" x14ac:dyDescent="0.15">
      <c r="A13" s="43" t="s">
        <v>2237</v>
      </c>
      <c r="B13" s="22"/>
      <c r="C13" s="22"/>
      <c r="D13" s="22"/>
      <c r="E13" s="71"/>
      <c r="F13" s="71"/>
      <c r="G13" s="71"/>
      <c r="H13" s="71"/>
      <c r="I13" s="72" t="str">
        <f t="shared" si="0"/>
        <v/>
      </c>
      <c r="J13" s="73" t="str">
        <f t="shared" si="1"/>
        <v/>
      </c>
      <c r="K13" s="44"/>
      <c r="L13" s="44"/>
      <c r="M13" s="74" t="str">
        <f t="shared" si="2"/>
        <v/>
      </c>
      <c r="N13" s="57" t="str">
        <f>IFERROR(INDEX(Lists!$AF$2:$AF$5,MATCH(D13,Lists!$AE$2:$AE$5,0))&amp;"–"&amp;INDEX(Lists!$AG$2:$AG$5,MATCH(D13,Lists!$AE$2:$AE$5,0)),"")</f>
        <v/>
      </c>
      <c r="O13" s="57" t="str">
        <f>IFERROR(IF(OR(M13="",D13=""),"",IF(M13&lt;INDEX(Lists!$AF$2:$AF$5,MATCH(D13,Lists!$AE$2:$AE$5,0)),"Below range",IF(M13&gt;INDEX(Lists!$AG$2:$AG$5,MATCH(D13,Lists!$AE$2:$AE$5,0)),"Above range","Within range"))),"")</f>
        <v/>
      </c>
      <c r="P13" s="57" t="str">
        <f>IF(ISNUMBER(L13),IF(L13&gt;Engagement!$C$43,"Exceeds maximum","Within maximum"),"")</f>
        <v/>
      </c>
      <c r="Q13" s="75"/>
      <c r="R13" s="76" t="str">
        <f t="shared" si="3"/>
        <v/>
      </c>
      <c r="S13" s="44"/>
      <c r="T13" s="22"/>
    </row>
    <row r="14" spans="1:20" ht="14" x14ac:dyDescent="0.15">
      <c r="A14" s="43" t="s">
        <v>2238</v>
      </c>
      <c r="B14" s="22"/>
      <c r="C14" s="22"/>
      <c r="D14" s="22"/>
      <c r="E14" s="71"/>
      <c r="F14" s="71"/>
      <c r="G14" s="71"/>
      <c r="H14" s="71"/>
      <c r="I14" s="72" t="str">
        <f t="shared" si="0"/>
        <v/>
      </c>
      <c r="J14" s="73" t="str">
        <f t="shared" si="1"/>
        <v/>
      </c>
      <c r="K14" s="44"/>
      <c r="L14" s="44"/>
      <c r="M14" s="74" t="str">
        <f t="shared" si="2"/>
        <v/>
      </c>
      <c r="N14" s="57" t="str">
        <f>IFERROR(INDEX(Lists!$AF$2:$AF$5,MATCH(D14,Lists!$AE$2:$AE$5,0))&amp;"–"&amp;INDEX(Lists!$AG$2:$AG$5,MATCH(D14,Lists!$AE$2:$AE$5,0)),"")</f>
        <v/>
      </c>
      <c r="O14" s="57" t="str">
        <f>IFERROR(IF(OR(M14="",D14=""),"",IF(M14&lt;INDEX(Lists!$AF$2:$AF$5,MATCH(D14,Lists!$AE$2:$AE$5,0)),"Below range",IF(M14&gt;INDEX(Lists!$AG$2:$AG$5,MATCH(D14,Lists!$AE$2:$AE$5,0)),"Above range","Within range"))),"")</f>
        <v/>
      </c>
      <c r="P14" s="57" t="str">
        <f>IF(ISNUMBER(L14),IF(L14&gt;Engagement!$C$43,"Exceeds maximum","Within maximum"),"")</f>
        <v/>
      </c>
      <c r="Q14" s="75"/>
      <c r="R14" s="76" t="str">
        <f t="shared" si="3"/>
        <v/>
      </c>
      <c r="S14" s="44"/>
      <c r="T14" s="22"/>
    </row>
    <row r="15" spans="1:20" ht="14" x14ac:dyDescent="0.15">
      <c r="A15" s="43" t="s">
        <v>2239</v>
      </c>
      <c r="B15" s="22"/>
      <c r="C15" s="22"/>
      <c r="D15" s="22"/>
      <c r="E15" s="71"/>
      <c r="F15" s="71"/>
      <c r="G15" s="71"/>
      <c r="H15" s="71"/>
      <c r="I15" s="72" t="str">
        <f t="shared" si="0"/>
        <v/>
      </c>
      <c r="J15" s="73" t="str">
        <f t="shared" si="1"/>
        <v/>
      </c>
      <c r="K15" s="44"/>
      <c r="L15" s="44"/>
      <c r="M15" s="74" t="str">
        <f t="shared" si="2"/>
        <v/>
      </c>
      <c r="N15" s="57" t="str">
        <f>IFERROR(INDEX(Lists!$AF$2:$AF$5,MATCH(D15,Lists!$AE$2:$AE$5,0))&amp;"–"&amp;INDEX(Lists!$AG$2:$AG$5,MATCH(D15,Lists!$AE$2:$AE$5,0)),"")</f>
        <v/>
      </c>
      <c r="O15" s="57" t="str">
        <f>IFERROR(IF(OR(M15="",D15=""),"",IF(M15&lt;INDEX(Lists!$AF$2:$AF$5,MATCH(D15,Lists!$AE$2:$AE$5,0)),"Below range",IF(M15&gt;INDEX(Lists!$AG$2:$AG$5,MATCH(D15,Lists!$AE$2:$AE$5,0)),"Above range","Within range"))),"")</f>
        <v/>
      </c>
      <c r="P15" s="57" t="str">
        <f>IF(ISNUMBER(L15),IF(L15&gt;Engagement!$C$43,"Exceeds maximum","Within maximum"),"")</f>
        <v/>
      </c>
      <c r="Q15" s="75"/>
      <c r="R15" s="76" t="str">
        <f t="shared" si="3"/>
        <v/>
      </c>
      <c r="S15" s="44"/>
      <c r="T15" s="22"/>
    </row>
    <row r="16" spans="1:20" ht="14" x14ac:dyDescent="0.15">
      <c r="A16" s="43" t="s">
        <v>2240</v>
      </c>
      <c r="B16" s="22"/>
      <c r="C16" s="22"/>
      <c r="D16" s="22"/>
      <c r="E16" s="71"/>
      <c r="F16" s="71"/>
      <c r="G16" s="71"/>
      <c r="H16" s="71"/>
      <c r="I16" s="72" t="str">
        <f t="shared" si="0"/>
        <v/>
      </c>
      <c r="J16" s="73" t="str">
        <f t="shared" si="1"/>
        <v/>
      </c>
      <c r="K16" s="44"/>
      <c r="L16" s="44"/>
      <c r="M16" s="74" t="str">
        <f t="shared" si="2"/>
        <v/>
      </c>
      <c r="N16" s="57" t="str">
        <f>IFERROR(INDEX(Lists!$AF$2:$AF$5,MATCH(D16,Lists!$AE$2:$AE$5,0))&amp;"–"&amp;INDEX(Lists!$AG$2:$AG$5,MATCH(D16,Lists!$AE$2:$AE$5,0)),"")</f>
        <v/>
      </c>
      <c r="O16" s="57" t="str">
        <f>IFERROR(IF(OR(M16="",D16=""),"",IF(M16&lt;INDEX(Lists!$AF$2:$AF$5,MATCH(D16,Lists!$AE$2:$AE$5,0)),"Below range",IF(M16&gt;INDEX(Lists!$AG$2:$AG$5,MATCH(D16,Lists!$AE$2:$AE$5,0)),"Above range","Within range"))),"")</f>
        <v/>
      </c>
      <c r="P16" s="57" t="str">
        <f>IF(ISNUMBER(L16),IF(L16&gt;Engagement!$C$43,"Exceeds maximum","Within maximum"),"")</f>
        <v/>
      </c>
      <c r="Q16" s="75"/>
      <c r="R16" s="76" t="str">
        <f t="shared" si="3"/>
        <v/>
      </c>
      <c r="S16" s="44"/>
      <c r="T16" s="22"/>
    </row>
    <row r="17" spans="1:20" ht="14" x14ac:dyDescent="0.15">
      <c r="A17" s="43" t="s">
        <v>2241</v>
      </c>
      <c r="B17" s="22"/>
      <c r="C17" s="22"/>
      <c r="D17" s="22"/>
      <c r="E17" s="71"/>
      <c r="F17" s="71"/>
      <c r="G17" s="71"/>
      <c r="H17" s="71"/>
      <c r="I17" s="72" t="str">
        <f t="shared" si="0"/>
        <v/>
      </c>
      <c r="J17" s="73" t="str">
        <f t="shared" si="1"/>
        <v/>
      </c>
      <c r="K17" s="44"/>
      <c r="L17" s="44"/>
      <c r="M17" s="74" t="str">
        <f t="shared" si="2"/>
        <v/>
      </c>
      <c r="N17" s="57" t="str">
        <f>IFERROR(INDEX(Lists!$AF$2:$AF$5,MATCH(D17,Lists!$AE$2:$AE$5,0))&amp;"–"&amp;INDEX(Lists!$AG$2:$AG$5,MATCH(D17,Lists!$AE$2:$AE$5,0)),"")</f>
        <v/>
      </c>
      <c r="O17" s="57" t="str">
        <f>IFERROR(IF(OR(M17="",D17=""),"",IF(M17&lt;INDEX(Lists!$AF$2:$AF$5,MATCH(D17,Lists!$AE$2:$AE$5,0)),"Below range",IF(M17&gt;INDEX(Lists!$AG$2:$AG$5,MATCH(D17,Lists!$AE$2:$AE$5,0)),"Above range","Within range"))),"")</f>
        <v/>
      </c>
      <c r="P17" s="57" t="str">
        <f>IF(ISNUMBER(L17),IF(L17&gt;Engagement!$C$43,"Exceeds maximum","Within maximum"),"")</f>
        <v/>
      </c>
      <c r="Q17" s="75"/>
      <c r="R17" s="76" t="str">
        <f t="shared" si="3"/>
        <v/>
      </c>
      <c r="S17" s="44"/>
      <c r="T17" s="22"/>
    </row>
    <row r="18" spans="1:20" ht="14" x14ac:dyDescent="0.15">
      <c r="A18" s="43" t="s">
        <v>2242</v>
      </c>
      <c r="B18" s="22"/>
      <c r="C18" s="22"/>
      <c r="D18" s="22"/>
      <c r="E18" s="71"/>
      <c r="F18" s="71"/>
      <c r="G18" s="71"/>
      <c r="H18" s="71"/>
      <c r="I18" s="72" t="str">
        <f t="shared" si="0"/>
        <v/>
      </c>
      <c r="J18" s="73" t="str">
        <f t="shared" si="1"/>
        <v/>
      </c>
      <c r="K18" s="44"/>
      <c r="L18" s="44"/>
      <c r="M18" s="74" t="str">
        <f t="shared" si="2"/>
        <v/>
      </c>
      <c r="N18" s="57" t="str">
        <f>IFERROR(INDEX(Lists!$AF$2:$AF$5,MATCH(D18,Lists!$AE$2:$AE$5,0))&amp;"–"&amp;INDEX(Lists!$AG$2:$AG$5,MATCH(D18,Lists!$AE$2:$AE$5,0)),"")</f>
        <v/>
      </c>
      <c r="O18" s="57" t="str">
        <f>IFERROR(IF(OR(M18="",D18=""),"",IF(M18&lt;INDEX(Lists!$AF$2:$AF$5,MATCH(D18,Lists!$AE$2:$AE$5,0)),"Below range",IF(M18&gt;INDEX(Lists!$AG$2:$AG$5,MATCH(D18,Lists!$AE$2:$AE$5,0)),"Above range","Within range"))),"")</f>
        <v/>
      </c>
      <c r="P18" s="57" t="str">
        <f>IF(ISNUMBER(L18),IF(L18&gt;Engagement!$C$43,"Exceeds maximum","Within maximum"),"")</f>
        <v/>
      </c>
      <c r="Q18" s="75"/>
      <c r="R18" s="76" t="str">
        <f t="shared" si="3"/>
        <v/>
      </c>
      <c r="S18" s="44"/>
      <c r="T18" s="22"/>
    </row>
    <row r="19" spans="1:20" ht="14" x14ac:dyDescent="0.15">
      <c r="A19" s="43" t="s">
        <v>2243</v>
      </c>
      <c r="B19" s="22"/>
      <c r="C19" s="22"/>
      <c r="D19" s="22"/>
      <c r="E19" s="71"/>
      <c r="F19" s="71"/>
      <c r="G19" s="71"/>
      <c r="H19" s="71"/>
      <c r="I19" s="72" t="str">
        <f t="shared" si="0"/>
        <v/>
      </c>
      <c r="J19" s="73" t="str">
        <f t="shared" si="1"/>
        <v/>
      </c>
      <c r="K19" s="44"/>
      <c r="L19" s="44"/>
      <c r="M19" s="74" t="str">
        <f t="shared" si="2"/>
        <v/>
      </c>
      <c r="N19" s="57" t="str">
        <f>IFERROR(INDEX(Lists!$AF$2:$AF$5,MATCH(D19,Lists!$AE$2:$AE$5,0))&amp;"–"&amp;INDEX(Lists!$AG$2:$AG$5,MATCH(D19,Lists!$AE$2:$AE$5,0)),"")</f>
        <v/>
      </c>
      <c r="O19" s="57" t="str">
        <f>IFERROR(IF(OR(M19="",D19=""),"",IF(M19&lt;INDEX(Lists!$AF$2:$AF$5,MATCH(D19,Lists!$AE$2:$AE$5,0)),"Below range",IF(M19&gt;INDEX(Lists!$AG$2:$AG$5,MATCH(D19,Lists!$AE$2:$AE$5,0)),"Above range","Within range"))),"")</f>
        <v/>
      </c>
      <c r="P19" s="57" t="str">
        <f>IF(ISNUMBER(L19),IF(L19&gt;Engagement!$C$43,"Exceeds maximum","Within maximum"),"")</f>
        <v/>
      </c>
      <c r="Q19" s="75"/>
      <c r="R19" s="76" t="str">
        <f t="shared" si="3"/>
        <v/>
      </c>
      <c r="S19" s="44"/>
      <c r="T19" s="22"/>
    </row>
    <row r="20" spans="1:20" ht="14" x14ac:dyDescent="0.15">
      <c r="A20" s="43" t="s">
        <v>2244</v>
      </c>
      <c r="B20" s="22"/>
      <c r="C20" s="22"/>
      <c r="D20" s="22"/>
      <c r="E20" s="71"/>
      <c r="F20" s="71"/>
      <c r="G20" s="71"/>
      <c r="H20" s="71"/>
      <c r="I20" s="72" t="str">
        <f t="shared" si="0"/>
        <v/>
      </c>
      <c r="J20" s="73" t="str">
        <f t="shared" si="1"/>
        <v/>
      </c>
      <c r="K20" s="44"/>
      <c r="L20" s="44"/>
      <c r="M20" s="74" t="str">
        <f t="shared" si="2"/>
        <v/>
      </c>
      <c r="N20" s="57" t="str">
        <f>IFERROR(INDEX(Lists!$AF$2:$AF$5,MATCH(D20,Lists!$AE$2:$AE$5,0))&amp;"–"&amp;INDEX(Lists!$AG$2:$AG$5,MATCH(D20,Lists!$AE$2:$AE$5,0)),"")</f>
        <v/>
      </c>
      <c r="O20" s="57" t="str">
        <f>IFERROR(IF(OR(M20="",D20=""),"",IF(M20&lt;INDEX(Lists!$AF$2:$AF$5,MATCH(D20,Lists!$AE$2:$AE$5,0)),"Below range",IF(M20&gt;INDEX(Lists!$AG$2:$AG$5,MATCH(D20,Lists!$AE$2:$AE$5,0)),"Above range","Within range"))),"")</f>
        <v/>
      </c>
      <c r="P20" s="57" t="str">
        <f>IF(ISNUMBER(L20),IF(L20&gt;Engagement!$C$43,"Exceeds maximum","Within maximum"),"")</f>
        <v/>
      </c>
      <c r="Q20" s="75"/>
      <c r="R20" s="76" t="str">
        <f t="shared" si="3"/>
        <v/>
      </c>
      <c r="S20" s="44"/>
      <c r="T20" s="22"/>
    </row>
    <row r="21" spans="1:20" ht="14" x14ac:dyDescent="0.15">
      <c r="A21" s="43" t="s">
        <v>2245</v>
      </c>
      <c r="B21" s="22"/>
      <c r="C21" s="22"/>
      <c r="D21" s="22"/>
      <c r="E21" s="71"/>
      <c r="F21" s="71"/>
      <c r="G21" s="71"/>
      <c r="H21" s="71"/>
      <c r="I21" s="72" t="str">
        <f t="shared" si="0"/>
        <v/>
      </c>
      <c r="J21" s="73" t="str">
        <f t="shared" si="1"/>
        <v/>
      </c>
      <c r="K21" s="44"/>
      <c r="L21" s="44"/>
      <c r="M21" s="74" t="str">
        <f t="shared" si="2"/>
        <v/>
      </c>
      <c r="N21" s="57" t="str">
        <f>IFERROR(INDEX(Lists!$AF$2:$AF$5,MATCH(D21,Lists!$AE$2:$AE$5,0))&amp;"–"&amp;INDEX(Lists!$AG$2:$AG$5,MATCH(D21,Lists!$AE$2:$AE$5,0)),"")</f>
        <v/>
      </c>
      <c r="O21" s="57" t="str">
        <f>IFERROR(IF(OR(M21="",D21=""),"",IF(M21&lt;INDEX(Lists!$AF$2:$AF$5,MATCH(D21,Lists!$AE$2:$AE$5,0)),"Below range",IF(M21&gt;INDEX(Lists!$AG$2:$AG$5,MATCH(D21,Lists!$AE$2:$AE$5,0)),"Above range","Within range"))),"")</f>
        <v/>
      </c>
      <c r="P21" s="57" t="str">
        <f>IF(ISNUMBER(L21),IF(L21&gt;Engagement!$C$43,"Exceeds maximum","Within maximum"),"")</f>
        <v/>
      </c>
      <c r="Q21" s="75"/>
      <c r="R21" s="76" t="str">
        <f t="shared" si="3"/>
        <v/>
      </c>
      <c r="S21" s="44"/>
      <c r="T21" s="22"/>
    </row>
    <row r="22" spans="1:20" ht="14" x14ac:dyDescent="0.15">
      <c r="A22" s="43" t="s">
        <v>2246</v>
      </c>
      <c r="B22" s="22"/>
      <c r="C22" s="22"/>
      <c r="D22" s="22"/>
      <c r="E22" s="71"/>
      <c r="F22" s="71"/>
      <c r="G22" s="71"/>
      <c r="H22" s="71"/>
      <c r="I22" s="72" t="str">
        <f t="shared" si="0"/>
        <v/>
      </c>
      <c r="J22" s="73" t="str">
        <f t="shared" si="1"/>
        <v/>
      </c>
      <c r="K22" s="44"/>
      <c r="L22" s="44"/>
      <c r="M22" s="74" t="str">
        <f t="shared" si="2"/>
        <v/>
      </c>
      <c r="N22" s="57" t="str">
        <f>IFERROR(INDEX(Lists!$AF$2:$AF$5,MATCH(D22,Lists!$AE$2:$AE$5,0))&amp;"–"&amp;INDEX(Lists!$AG$2:$AG$5,MATCH(D22,Lists!$AE$2:$AE$5,0)),"")</f>
        <v/>
      </c>
      <c r="O22" s="57" t="str">
        <f>IFERROR(IF(OR(M22="",D22=""),"",IF(M22&lt;INDEX(Lists!$AF$2:$AF$5,MATCH(D22,Lists!$AE$2:$AE$5,0)),"Below range",IF(M22&gt;INDEX(Lists!$AG$2:$AG$5,MATCH(D22,Lists!$AE$2:$AE$5,0)),"Above range","Within range"))),"")</f>
        <v/>
      </c>
      <c r="P22" s="57" t="str">
        <f>IF(ISNUMBER(L22),IF(L22&gt;Engagement!$C$43,"Exceeds maximum","Within maximum"),"")</f>
        <v/>
      </c>
      <c r="Q22" s="75"/>
      <c r="R22" s="76" t="str">
        <f t="shared" si="3"/>
        <v/>
      </c>
      <c r="S22" s="44"/>
      <c r="T22" s="22"/>
    </row>
    <row r="23" spans="1:20" ht="14" x14ac:dyDescent="0.15">
      <c r="A23" s="43" t="s">
        <v>2247</v>
      </c>
      <c r="B23" s="22"/>
      <c r="C23" s="22"/>
      <c r="D23" s="22"/>
      <c r="E23" s="71"/>
      <c r="F23" s="71"/>
      <c r="G23" s="71"/>
      <c r="H23" s="71"/>
      <c r="I23" s="72" t="str">
        <f t="shared" si="0"/>
        <v/>
      </c>
      <c r="J23" s="73" t="str">
        <f t="shared" si="1"/>
        <v/>
      </c>
      <c r="K23" s="44"/>
      <c r="L23" s="44"/>
      <c r="M23" s="74" t="str">
        <f t="shared" si="2"/>
        <v/>
      </c>
      <c r="N23" s="57" t="str">
        <f>IFERROR(INDEX(Lists!$AF$2:$AF$5,MATCH(D23,Lists!$AE$2:$AE$5,0))&amp;"–"&amp;INDEX(Lists!$AG$2:$AG$5,MATCH(D23,Lists!$AE$2:$AE$5,0)),"")</f>
        <v/>
      </c>
      <c r="O23" s="57" t="str">
        <f>IFERROR(IF(OR(M23="",D23=""),"",IF(M23&lt;INDEX(Lists!$AF$2:$AF$5,MATCH(D23,Lists!$AE$2:$AE$5,0)),"Below range",IF(M23&gt;INDEX(Lists!$AG$2:$AG$5,MATCH(D23,Lists!$AE$2:$AE$5,0)),"Above range","Within range"))),"")</f>
        <v/>
      </c>
      <c r="P23" s="57" t="str">
        <f>IF(ISNUMBER(L23),IF(L23&gt;Engagement!$C$43,"Exceeds maximum","Within maximum"),"")</f>
        <v/>
      </c>
      <c r="Q23" s="75"/>
      <c r="R23" s="76" t="str">
        <f t="shared" si="3"/>
        <v/>
      </c>
      <c r="S23" s="44"/>
      <c r="T23" s="22"/>
    </row>
    <row r="24" spans="1:20" ht="14" x14ac:dyDescent="0.15">
      <c r="A24" s="43" t="s">
        <v>2248</v>
      </c>
      <c r="B24" s="22"/>
      <c r="C24" s="22"/>
      <c r="D24" s="22"/>
      <c r="E24" s="71"/>
      <c r="F24" s="71"/>
      <c r="G24" s="71"/>
      <c r="H24" s="71"/>
      <c r="I24" s="72" t="str">
        <f t="shared" si="0"/>
        <v/>
      </c>
      <c r="J24" s="73" t="str">
        <f t="shared" si="1"/>
        <v/>
      </c>
      <c r="K24" s="44"/>
      <c r="L24" s="44"/>
      <c r="M24" s="74" t="str">
        <f t="shared" si="2"/>
        <v/>
      </c>
      <c r="N24" s="57" t="str">
        <f>IFERROR(INDEX(Lists!$AF$2:$AF$5,MATCH(D24,Lists!$AE$2:$AE$5,0))&amp;"–"&amp;INDEX(Lists!$AG$2:$AG$5,MATCH(D24,Lists!$AE$2:$AE$5,0)),"")</f>
        <v/>
      </c>
      <c r="O24" s="57" t="str">
        <f>IFERROR(IF(OR(M24="",D24=""),"",IF(M24&lt;INDEX(Lists!$AF$2:$AF$5,MATCH(D24,Lists!$AE$2:$AE$5,0)),"Below range",IF(M24&gt;INDEX(Lists!$AG$2:$AG$5,MATCH(D24,Lists!$AE$2:$AE$5,0)),"Above range","Within range"))),"")</f>
        <v/>
      </c>
      <c r="P24" s="57" t="str">
        <f>IF(ISNUMBER(L24),IF(L24&gt;Engagement!$C$43,"Exceeds maximum","Within maximum"),"")</f>
        <v/>
      </c>
      <c r="Q24" s="75"/>
      <c r="R24" s="76" t="str">
        <f t="shared" si="3"/>
        <v/>
      </c>
      <c r="S24" s="44"/>
      <c r="T24" s="22"/>
    </row>
    <row r="25" spans="1:20" ht="14" x14ac:dyDescent="0.15">
      <c r="A25" s="43" t="s">
        <v>2249</v>
      </c>
      <c r="B25" s="22"/>
      <c r="C25" s="22"/>
      <c r="D25" s="22"/>
      <c r="E25" s="71"/>
      <c r="F25" s="71"/>
      <c r="G25" s="71"/>
      <c r="H25" s="71"/>
      <c r="I25" s="72" t="str">
        <f t="shared" si="0"/>
        <v/>
      </c>
      <c r="J25" s="73" t="str">
        <f t="shared" si="1"/>
        <v/>
      </c>
      <c r="K25" s="44"/>
      <c r="L25" s="44"/>
      <c r="M25" s="74" t="str">
        <f t="shared" si="2"/>
        <v/>
      </c>
      <c r="N25" s="57" t="str">
        <f>IFERROR(INDEX(Lists!$AF$2:$AF$5,MATCH(D25,Lists!$AE$2:$AE$5,0))&amp;"–"&amp;INDEX(Lists!$AG$2:$AG$5,MATCH(D25,Lists!$AE$2:$AE$5,0)),"")</f>
        <v/>
      </c>
      <c r="O25" s="57" t="str">
        <f>IFERROR(IF(OR(M25="",D25=""),"",IF(M25&lt;INDEX(Lists!$AF$2:$AF$5,MATCH(D25,Lists!$AE$2:$AE$5,0)),"Below range",IF(M25&gt;INDEX(Lists!$AG$2:$AG$5,MATCH(D25,Lists!$AE$2:$AE$5,0)),"Above range","Within range"))),"")</f>
        <v/>
      </c>
      <c r="P25" s="57" t="str">
        <f>IF(ISNUMBER(L25),IF(L25&gt;Engagement!$C$43,"Exceeds maximum","Within maximum"),"")</f>
        <v/>
      </c>
      <c r="Q25" s="75"/>
      <c r="R25" s="76" t="str">
        <f t="shared" si="3"/>
        <v/>
      </c>
      <c r="S25" s="44"/>
      <c r="T25" s="22"/>
    </row>
    <row r="26" spans="1:20" ht="14" x14ac:dyDescent="0.15">
      <c r="A26" s="43" t="s">
        <v>2250</v>
      </c>
      <c r="B26" s="22"/>
      <c r="C26" s="22"/>
      <c r="D26" s="22"/>
      <c r="E26" s="71"/>
      <c r="F26" s="71"/>
      <c r="G26" s="71"/>
      <c r="H26" s="71"/>
      <c r="I26" s="72" t="str">
        <f t="shared" si="0"/>
        <v/>
      </c>
      <c r="J26" s="73" t="str">
        <f t="shared" si="1"/>
        <v/>
      </c>
      <c r="K26" s="44"/>
      <c r="L26" s="44"/>
      <c r="M26" s="74" t="str">
        <f t="shared" si="2"/>
        <v/>
      </c>
      <c r="N26" s="57" t="str">
        <f>IFERROR(INDEX(Lists!$AF$2:$AF$5,MATCH(D26,Lists!$AE$2:$AE$5,0))&amp;"–"&amp;INDEX(Lists!$AG$2:$AG$5,MATCH(D26,Lists!$AE$2:$AE$5,0)),"")</f>
        <v/>
      </c>
      <c r="O26" s="57" t="str">
        <f>IFERROR(IF(OR(M26="",D26=""),"",IF(M26&lt;INDEX(Lists!$AF$2:$AF$5,MATCH(D26,Lists!$AE$2:$AE$5,0)),"Below range",IF(M26&gt;INDEX(Lists!$AG$2:$AG$5,MATCH(D26,Lists!$AE$2:$AE$5,0)),"Above range","Within range"))),"")</f>
        <v/>
      </c>
      <c r="P26" s="57" t="str">
        <f>IF(ISNUMBER(L26),IF(L26&gt;Engagement!$C$43,"Exceeds maximum","Within maximum"),"")</f>
        <v/>
      </c>
      <c r="Q26" s="75"/>
      <c r="R26" s="76" t="str">
        <f t="shared" si="3"/>
        <v/>
      </c>
      <c r="S26" s="44"/>
      <c r="T26" s="22"/>
    </row>
    <row r="27" spans="1:20" ht="14" x14ac:dyDescent="0.15">
      <c r="A27" s="43" t="s">
        <v>2251</v>
      </c>
      <c r="B27" s="22"/>
      <c r="C27" s="22"/>
      <c r="D27" s="22"/>
      <c r="E27" s="71"/>
      <c r="F27" s="71"/>
      <c r="G27" s="71"/>
      <c r="H27" s="71"/>
      <c r="I27" s="72" t="str">
        <f t="shared" si="0"/>
        <v/>
      </c>
      <c r="J27" s="73" t="str">
        <f t="shared" si="1"/>
        <v/>
      </c>
      <c r="K27" s="44"/>
      <c r="L27" s="44"/>
      <c r="M27" s="74" t="str">
        <f t="shared" si="2"/>
        <v/>
      </c>
      <c r="N27" s="57" t="str">
        <f>IFERROR(INDEX(Lists!$AF$2:$AF$5,MATCH(D27,Lists!$AE$2:$AE$5,0))&amp;"–"&amp;INDEX(Lists!$AG$2:$AG$5,MATCH(D27,Lists!$AE$2:$AE$5,0)),"")</f>
        <v/>
      </c>
      <c r="O27" s="57" t="str">
        <f>IFERROR(IF(OR(M27="",D27=""),"",IF(M27&lt;INDEX(Lists!$AF$2:$AF$5,MATCH(D27,Lists!$AE$2:$AE$5,0)),"Below range",IF(M27&gt;INDEX(Lists!$AG$2:$AG$5,MATCH(D27,Lists!$AE$2:$AE$5,0)),"Above range","Within range"))),"")</f>
        <v/>
      </c>
      <c r="P27" s="57" t="str">
        <f>IF(ISNUMBER(L27),IF(L27&gt;Engagement!$C$43,"Exceeds maximum","Within maximum"),"")</f>
        <v/>
      </c>
      <c r="Q27" s="75"/>
      <c r="R27" s="76" t="str">
        <f t="shared" si="3"/>
        <v/>
      </c>
      <c r="S27" s="44"/>
      <c r="T27" s="22"/>
    </row>
    <row r="28" spans="1:20" ht="14" x14ac:dyDescent="0.15">
      <c r="A28" s="43" t="s">
        <v>2252</v>
      </c>
      <c r="B28" s="22"/>
      <c r="C28" s="22"/>
      <c r="D28" s="22"/>
      <c r="E28" s="71"/>
      <c r="F28" s="71"/>
      <c r="G28" s="71"/>
      <c r="H28" s="71"/>
      <c r="I28" s="72" t="str">
        <f t="shared" si="0"/>
        <v/>
      </c>
      <c r="J28" s="73" t="str">
        <f t="shared" si="1"/>
        <v/>
      </c>
      <c r="K28" s="44"/>
      <c r="L28" s="44"/>
      <c r="M28" s="74" t="str">
        <f t="shared" si="2"/>
        <v/>
      </c>
      <c r="N28" s="57" t="str">
        <f>IFERROR(INDEX(Lists!$AF$2:$AF$5,MATCH(D28,Lists!$AE$2:$AE$5,0))&amp;"–"&amp;INDEX(Lists!$AG$2:$AG$5,MATCH(D28,Lists!$AE$2:$AE$5,0)),"")</f>
        <v/>
      </c>
      <c r="O28" s="57" t="str">
        <f>IFERROR(IF(OR(M28="",D28=""),"",IF(M28&lt;INDEX(Lists!$AF$2:$AF$5,MATCH(D28,Lists!$AE$2:$AE$5,0)),"Below range",IF(M28&gt;INDEX(Lists!$AG$2:$AG$5,MATCH(D28,Lists!$AE$2:$AE$5,0)),"Above range","Within range"))),"")</f>
        <v/>
      </c>
      <c r="P28" s="57" t="str">
        <f>IF(ISNUMBER(L28),IF(L28&gt;Engagement!$C$43,"Exceeds maximum","Within maximum"),"")</f>
        <v/>
      </c>
      <c r="Q28" s="75"/>
      <c r="R28" s="76" t="str">
        <f t="shared" si="3"/>
        <v/>
      </c>
      <c r="S28" s="44"/>
      <c r="T28" s="22"/>
    </row>
    <row r="29" spans="1:20" ht="14" x14ac:dyDescent="0.15">
      <c r="A29" s="43" t="s">
        <v>2253</v>
      </c>
      <c r="B29" s="22"/>
      <c r="C29" s="22"/>
      <c r="D29" s="22"/>
      <c r="E29" s="71"/>
      <c r="F29" s="71"/>
      <c r="G29" s="71"/>
      <c r="H29" s="71"/>
      <c r="I29" s="72" t="str">
        <f t="shared" si="0"/>
        <v/>
      </c>
      <c r="J29" s="73" t="str">
        <f t="shared" si="1"/>
        <v/>
      </c>
      <c r="K29" s="44"/>
      <c r="L29" s="44"/>
      <c r="M29" s="74" t="str">
        <f t="shared" si="2"/>
        <v/>
      </c>
      <c r="N29" s="57" t="str">
        <f>IFERROR(INDEX(Lists!$AF$2:$AF$5,MATCH(D29,Lists!$AE$2:$AE$5,0))&amp;"–"&amp;INDEX(Lists!$AG$2:$AG$5,MATCH(D29,Lists!$AE$2:$AE$5,0)),"")</f>
        <v/>
      </c>
      <c r="O29" s="57" t="str">
        <f>IFERROR(IF(OR(M29="",D29=""),"",IF(M29&lt;INDEX(Lists!$AF$2:$AF$5,MATCH(D29,Lists!$AE$2:$AE$5,0)),"Below range",IF(M29&gt;INDEX(Lists!$AG$2:$AG$5,MATCH(D29,Lists!$AE$2:$AE$5,0)),"Above range","Within range"))),"")</f>
        <v/>
      </c>
      <c r="P29" s="57" t="str">
        <f>IF(ISNUMBER(L29),IF(L29&gt;Engagement!$C$43,"Exceeds maximum","Within maximum"),"")</f>
        <v/>
      </c>
      <c r="Q29" s="75"/>
      <c r="R29" s="76" t="str">
        <f t="shared" si="3"/>
        <v/>
      </c>
      <c r="S29" s="44"/>
      <c r="T29" s="22"/>
    </row>
    <row r="30" spans="1:20" ht="14" x14ac:dyDescent="0.15">
      <c r="A30" s="43" t="s">
        <v>2254</v>
      </c>
      <c r="B30" s="22"/>
      <c r="C30" s="22"/>
      <c r="D30" s="22"/>
      <c r="E30" s="71"/>
      <c r="F30" s="71"/>
      <c r="G30" s="71"/>
      <c r="H30" s="71"/>
      <c r="I30" s="72" t="str">
        <f t="shared" si="0"/>
        <v/>
      </c>
      <c r="J30" s="73" t="str">
        <f t="shared" si="1"/>
        <v/>
      </c>
      <c r="K30" s="44"/>
      <c r="L30" s="44"/>
      <c r="M30" s="74" t="str">
        <f t="shared" si="2"/>
        <v/>
      </c>
      <c r="N30" s="57" t="str">
        <f>IFERROR(INDEX(Lists!$AF$2:$AF$5,MATCH(D30,Lists!$AE$2:$AE$5,0))&amp;"–"&amp;INDEX(Lists!$AG$2:$AG$5,MATCH(D30,Lists!$AE$2:$AE$5,0)),"")</f>
        <v/>
      </c>
      <c r="O30" s="57" t="str">
        <f>IFERROR(IF(OR(M30="",D30=""),"",IF(M30&lt;INDEX(Lists!$AF$2:$AF$5,MATCH(D30,Lists!$AE$2:$AE$5,0)),"Below range",IF(M30&gt;INDEX(Lists!$AG$2:$AG$5,MATCH(D30,Lists!$AE$2:$AE$5,0)),"Above range","Within range"))),"")</f>
        <v/>
      </c>
      <c r="P30" s="57" t="str">
        <f>IF(ISNUMBER(L30),IF(L30&gt;Engagement!$C$43,"Exceeds maximum","Within maximum"),"")</f>
        <v/>
      </c>
      <c r="Q30" s="75"/>
      <c r="R30" s="76" t="str">
        <f t="shared" si="3"/>
        <v/>
      </c>
      <c r="S30" s="44"/>
      <c r="T30" s="22"/>
    </row>
    <row r="31" spans="1:20" ht="14" x14ac:dyDescent="0.15">
      <c r="A31" s="43" t="s">
        <v>2255</v>
      </c>
      <c r="B31" s="22"/>
      <c r="C31" s="22"/>
      <c r="D31" s="22"/>
      <c r="E31" s="71"/>
      <c r="F31" s="71"/>
      <c r="G31" s="71"/>
      <c r="H31" s="71"/>
      <c r="I31" s="72" t="str">
        <f t="shared" si="0"/>
        <v/>
      </c>
      <c r="J31" s="73" t="str">
        <f t="shared" si="1"/>
        <v/>
      </c>
      <c r="K31" s="44"/>
      <c r="L31" s="44"/>
      <c r="M31" s="74" t="str">
        <f t="shared" si="2"/>
        <v/>
      </c>
      <c r="N31" s="57" t="str">
        <f>IFERROR(INDEX(Lists!$AF$2:$AF$5,MATCH(D31,Lists!$AE$2:$AE$5,0))&amp;"–"&amp;INDEX(Lists!$AG$2:$AG$5,MATCH(D31,Lists!$AE$2:$AE$5,0)),"")</f>
        <v/>
      </c>
      <c r="O31" s="57" t="str">
        <f>IFERROR(IF(OR(M31="",D31=""),"",IF(M31&lt;INDEX(Lists!$AF$2:$AF$5,MATCH(D31,Lists!$AE$2:$AE$5,0)),"Below range",IF(M31&gt;INDEX(Lists!$AG$2:$AG$5,MATCH(D31,Lists!$AE$2:$AE$5,0)),"Above range","Within range"))),"")</f>
        <v/>
      </c>
      <c r="P31" s="57" t="str">
        <f>IF(ISNUMBER(L31),IF(L31&gt;Engagement!$C$43,"Exceeds maximum","Within maximum"),"")</f>
        <v/>
      </c>
      <c r="Q31" s="75"/>
      <c r="R31" s="76" t="str">
        <f t="shared" si="3"/>
        <v/>
      </c>
      <c r="S31" s="44"/>
      <c r="T31" s="22"/>
    </row>
    <row r="32" spans="1:20" ht="14" x14ac:dyDescent="0.15">
      <c r="A32" s="43" t="s">
        <v>2256</v>
      </c>
      <c r="B32" s="22"/>
      <c r="C32" s="22"/>
      <c r="D32" s="22"/>
      <c r="E32" s="71"/>
      <c r="F32" s="71"/>
      <c r="G32" s="71"/>
      <c r="H32" s="71"/>
      <c r="I32" s="72" t="str">
        <f t="shared" si="0"/>
        <v/>
      </c>
      <c r="J32" s="73" t="str">
        <f t="shared" si="1"/>
        <v/>
      </c>
      <c r="K32" s="44"/>
      <c r="L32" s="44"/>
      <c r="M32" s="74" t="str">
        <f t="shared" si="2"/>
        <v/>
      </c>
      <c r="N32" s="57" t="str">
        <f>IFERROR(INDEX(Lists!$AF$2:$AF$5,MATCH(D32,Lists!$AE$2:$AE$5,0))&amp;"–"&amp;INDEX(Lists!$AG$2:$AG$5,MATCH(D32,Lists!$AE$2:$AE$5,0)),"")</f>
        <v/>
      </c>
      <c r="O32" s="57" t="str">
        <f>IFERROR(IF(OR(M32="",D32=""),"",IF(M32&lt;INDEX(Lists!$AF$2:$AF$5,MATCH(D32,Lists!$AE$2:$AE$5,0)),"Below range",IF(M32&gt;INDEX(Lists!$AG$2:$AG$5,MATCH(D32,Lists!$AE$2:$AE$5,0)),"Above range","Within range"))),"")</f>
        <v/>
      </c>
      <c r="P32" s="57" t="str">
        <f>IF(ISNUMBER(L32),IF(L32&gt;Engagement!$C$43,"Exceeds maximum","Within maximum"),"")</f>
        <v/>
      </c>
      <c r="Q32" s="75"/>
      <c r="R32" s="76" t="str">
        <f t="shared" si="3"/>
        <v/>
      </c>
      <c r="S32" s="44"/>
      <c r="T32" s="22"/>
    </row>
    <row r="33" spans="1:20" ht="14" x14ac:dyDescent="0.15">
      <c r="A33" s="43" t="s">
        <v>2257</v>
      </c>
      <c r="B33" s="22"/>
      <c r="C33" s="22"/>
      <c r="D33" s="22"/>
      <c r="E33" s="71"/>
      <c r="F33" s="71"/>
      <c r="G33" s="71"/>
      <c r="H33" s="71"/>
      <c r="I33" s="72" t="str">
        <f t="shared" si="0"/>
        <v/>
      </c>
      <c r="J33" s="73" t="str">
        <f t="shared" si="1"/>
        <v/>
      </c>
      <c r="K33" s="44"/>
      <c r="L33" s="44"/>
      <c r="M33" s="74" t="str">
        <f t="shared" si="2"/>
        <v/>
      </c>
      <c r="N33" s="57" t="str">
        <f>IFERROR(INDEX(Lists!$AF$2:$AF$5,MATCH(D33,Lists!$AE$2:$AE$5,0))&amp;"–"&amp;INDEX(Lists!$AG$2:$AG$5,MATCH(D33,Lists!$AE$2:$AE$5,0)),"")</f>
        <v/>
      </c>
      <c r="O33" s="57" t="str">
        <f>IFERROR(IF(OR(M33="",D33=""),"",IF(M33&lt;INDEX(Lists!$AF$2:$AF$5,MATCH(D33,Lists!$AE$2:$AE$5,0)),"Below range",IF(M33&gt;INDEX(Lists!$AG$2:$AG$5,MATCH(D33,Lists!$AE$2:$AE$5,0)),"Above range","Within range"))),"")</f>
        <v/>
      </c>
      <c r="P33" s="57" t="str">
        <f>IF(ISNUMBER(L33),IF(L33&gt;Engagement!$C$43,"Exceeds maximum","Within maximum"),"")</f>
        <v/>
      </c>
      <c r="Q33" s="75"/>
      <c r="R33" s="76" t="str">
        <f t="shared" si="3"/>
        <v/>
      </c>
      <c r="S33" s="44"/>
      <c r="T33" s="22"/>
    </row>
    <row r="34" spans="1:20" ht="14" x14ac:dyDescent="0.15">
      <c r="A34" s="43" t="s">
        <v>2258</v>
      </c>
      <c r="B34" s="22"/>
      <c r="C34" s="22"/>
      <c r="D34" s="22"/>
      <c r="E34" s="71"/>
      <c r="F34" s="71"/>
      <c r="G34" s="71"/>
      <c r="H34" s="71"/>
      <c r="I34" s="72" t="str">
        <f t="shared" si="0"/>
        <v/>
      </c>
      <c r="J34" s="73" t="str">
        <f t="shared" si="1"/>
        <v/>
      </c>
      <c r="K34" s="44"/>
      <c r="L34" s="44"/>
      <c r="M34" s="74" t="str">
        <f t="shared" si="2"/>
        <v/>
      </c>
      <c r="N34" s="57" t="str">
        <f>IFERROR(INDEX(Lists!$AF$2:$AF$5,MATCH(D34,Lists!$AE$2:$AE$5,0))&amp;"–"&amp;INDEX(Lists!$AG$2:$AG$5,MATCH(D34,Lists!$AE$2:$AE$5,0)),"")</f>
        <v/>
      </c>
      <c r="O34" s="57" t="str">
        <f>IFERROR(IF(OR(M34="",D34=""),"",IF(M34&lt;INDEX(Lists!$AF$2:$AF$5,MATCH(D34,Lists!$AE$2:$AE$5,0)),"Below range",IF(M34&gt;INDEX(Lists!$AG$2:$AG$5,MATCH(D34,Lists!$AE$2:$AE$5,0)),"Above range","Within range"))),"")</f>
        <v/>
      </c>
      <c r="P34" s="57" t="str">
        <f>IF(ISNUMBER(L34),IF(L34&gt;Engagement!$C$43,"Exceeds maximum","Within maximum"),"")</f>
        <v/>
      </c>
      <c r="Q34" s="75"/>
      <c r="R34" s="76" t="str">
        <f t="shared" si="3"/>
        <v/>
      </c>
      <c r="S34" s="44"/>
      <c r="T34" s="22"/>
    </row>
    <row r="35" spans="1:20" ht="14" x14ac:dyDescent="0.15">
      <c r="A35" s="43" t="s">
        <v>2259</v>
      </c>
      <c r="B35" s="22"/>
      <c r="C35" s="22"/>
      <c r="D35" s="22"/>
      <c r="E35" s="71"/>
      <c r="F35" s="71"/>
      <c r="G35" s="71"/>
      <c r="H35" s="71"/>
      <c r="I35" s="72" t="str">
        <f t="shared" si="0"/>
        <v/>
      </c>
      <c r="J35" s="73" t="str">
        <f t="shared" si="1"/>
        <v/>
      </c>
      <c r="K35" s="44"/>
      <c r="L35" s="44"/>
      <c r="M35" s="74" t="str">
        <f t="shared" si="2"/>
        <v/>
      </c>
      <c r="N35" s="57" t="str">
        <f>IFERROR(INDEX(Lists!$AF$2:$AF$5,MATCH(D35,Lists!$AE$2:$AE$5,0))&amp;"–"&amp;INDEX(Lists!$AG$2:$AG$5,MATCH(D35,Lists!$AE$2:$AE$5,0)),"")</f>
        <v/>
      </c>
      <c r="O35" s="57" t="str">
        <f>IFERROR(IF(OR(M35="",D35=""),"",IF(M35&lt;INDEX(Lists!$AF$2:$AF$5,MATCH(D35,Lists!$AE$2:$AE$5,0)),"Below range",IF(M35&gt;INDEX(Lists!$AG$2:$AG$5,MATCH(D35,Lists!$AE$2:$AE$5,0)),"Above range","Within range"))),"")</f>
        <v/>
      </c>
      <c r="P35" s="57" t="str">
        <f>IF(ISNUMBER(L35),IF(L35&gt;Engagement!$C$43,"Exceeds maximum","Within maximum"),"")</f>
        <v/>
      </c>
      <c r="Q35" s="75"/>
      <c r="R35" s="76" t="str">
        <f t="shared" si="3"/>
        <v/>
      </c>
      <c r="S35" s="44"/>
      <c r="T35" s="22"/>
    </row>
    <row r="36" spans="1:20" ht="14" x14ac:dyDescent="0.15">
      <c r="A36" s="43" t="s">
        <v>2260</v>
      </c>
      <c r="B36" s="22"/>
      <c r="C36" s="22"/>
      <c r="D36" s="22"/>
      <c r="E36" s="71"/>
      <c r="F36" s="71"/>
      <c r="G36" s="71"/>
      <c r="H36" s="71"/>
      <c r="I36" s="72" t="str">
        <f t="shared" si="0"/>
        <v/>
      </c>
      <c r="J36" s="73" t="str">
        <f t="shared" si="1"/>
        <v/>
      </c>
      <c r="K36" s="44"/>
      <c r="L36" s="44"/>
      <c r="M36" s="74" t="str">
        <f t="shared" si="2"/>
        <v/>
      </c>
      <c r="N36" s="57" t="str">
        <f>IFERROR(INDEX(Lists!$AF$2:$AF$5,MATCH(D36,Lists!$AE$2:$AE$5,0))&amp;"–"&amp;INDEX(Lists!$AG$2:$AG$5,MATCH(D36,Lists!$AE$2:$AE$5,0)),"")</f>
        <v/>
      </c>
      <c r="O36" s="57" t="str">
        <f>IFERROR(IF(OR(M36="",D36=""),"",IF(M36&lt;INDEX(Lists!$AF$2:$AF$5,MATCH(D36,Lists!$AE$2:$AE$5,0)),"Below range",IF(M36&gt;INDEX(Lists!$AG$2:$AG$5,MATCH(D36,Lists!$AE$2:$AE$5,0)),"Above range","Within range"))),"")</f>
        <v/>
      </c>
      <c r="P36" s="57" t="str">
        <f>IF(ISNUMBER(L36),IF(L36&gt;Engagement!$C$43,"Exceeds maximum","Within maximum"),"")</f>
        <v/>
      </c>
      <c r="Q36" s="75"/>
      <c r="R36" s="76" t="str">
        <f t="shared" si="3"/>
        <v/>
      </c>
      <c r="S36" s="44"/>
      <c r="T36" s="22"/>
    </row>
    <row r="37" spans="1:20" ht="14" x14ac:dyDescent="0.15">
      <c r="A37" s="23"/>
      <c r="B37" s="26" t="s">
        <v>2261</v>
      </c>
      <c r="C37" s="23"/>
      <c r="D37" s="23"/>
      <c r="E37" s="77">
        <f>SUMIF($A$6:$A$36,"&lt;&gt;Example",E6:E36)</f>
        <v>0</v>
      </c>
      <c r="F37" s="77">
        <f>SUMIF($A$6:$A$36,"&lt;&gt;Example",F6:F36)</f>
        <v>0</v>
      </c>
      <c r="G37" s="77">
        <f>SUMIF($A$6:$A$36,"&lt;&gt;Example",G6:G36)</f>
        <v>0</v>
      </c>
      <c r="H37" s="77">
        <f>SUMIF($A$6:$A$36,"&lt;&gt;Example",H6:H36)</f>
        <v>0</v>
      </c>
      <c r="I37" s="77">
        <f>SUMIF($A$6:$A$36,"&lt;&gt;Example",I6:I36)</f>
        <v>0</v>
      </c>
      <c r="J37" s="78" t="str">
        <f>IF(I37&gt;0,(G37+H37)/I37,"")</f>
        <v/>
      </c>
      <c r="K37" s="79">
        <f>SUMIF($A$6:$A$36,"&lt;&gt;Example",K6:K36)</f>
        <v>0</v>
      </c>
      <c r="L37" s="80">
        <f>_xlfn.MAXIFS(L6:L36,$A$6:$A$36,"&lt;&gt;Example")</f>
        <v>0</v>
      </c>
      <c r="M37" s="81" t="str">
        <f>IF(K37&gt;0,(E37+F37+G37-1)/K37,"")</f>
        <v/>
      </c>
      <c r="N37" s="23"/>
      <c r="O37" s="23"/>
      <c r="P37" s="23"/>
      <c r="Q37" s="82">
        <f>SUMIF($A$6:$A$36,"&lt;&gt;Example",Q6:Q36)</f>
        <v>0</v>
      </c>
      <c r="R37" s="82" t="str">
        <f>IF((E37+F37)&gt;0,Q37/(E37+F37),"")</f>
        <v/>
      </c>
      <c r="S37" s="79">
        <f>SUMIF($A$6:$A$36,"&lt;&gt;Example",S6:S36)</f>
        <v>0</v>
      </c>
      <c r="T37" s="23"/>
    </row>
  </sheetData>
  <autoFilter ref="A5:T36" xr:uid="{00000000-0009-0000-0000-00000A000000}"/>
  <conditionalFormatting sqref="O6:O36">
    <cfRule type="cellIs" dxfId="49" priority="2" operator="equal">
      <formula>"Above range"</formula>
    </cfRule>
    <cfRule type="cellIs" dxfId="48" priority="3" operator="equal">
      <formula>"Below range"</formula>
    </cfRule>
    <cfRule type="cellIs" dxfId="47" priority="4" operator="equal">
      <formula>"Within range"</formula>
    </cfRule>
  </conditionalFormatting>
  <conditionalFormatting sqref="P6:P36">
    <cfRule type="cellIs" dxfId="46" priority="5" operator="equal">
      <formula>"Exceeds maximum"</formula>
    </cfRule>
    <cfRule type="cellIs" dxfId="45" priority="6" operator="equal">
      <formula>"Within maximum"</formula>
    </cfRule>
  </conditionalFormatting>
  <pageMargins left="0.4" right="0.4" top="0.5" bottom="0.5" header="0.511811023622047" footer="0.5"/>
  <pageSetup paperSize="9" fitToHeight="0" orientation="landscape" horizontalDpi="300" verticalDpi="300"/>
  <headerFooter>
    <oddFooter>&amp;L&amp;8 CTO Consulting | Operating Model Assessment Toolkit&amp;R&amp;8 &amp;A | 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entry" error="Please select a value from the list (values are maintained on the Lists tab)." xr:uid="{00000000-0002-0000-0A00-000000000000}">
          <x14:formula1>
            <xm:f>Lists!$AE$2:$AE$5</xm:f>
          </x14:formula1>
          <x14:formula2>
            <xm:f>0</xm:f>
          </x14:formula2>
          <xm:sqref>D6:D36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E75B6"/>
    <pageSetUpPr fitToPage="1"/>
  </sheetPr>
  <dimension ref="A1:R36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8.6640625" defaultRowHeight="13" x14ac:dyDescent="0.15"/>
  <cols>
    <col min="1" max="1" width="8" customWidth="1"/>
    <col min="2" max="2" width="46" customWidth="1"/>
    <col min="3" max="14" width="10" customWidth="1"/>
    <col min="15" max="15" width="15" customWidth="1"/>
    <col min="16" max="16" width="14" customWidth="1"/>
    <col min="17" max="17" width="12" customWidth="1"/>
    <col min="18" max="18" width="40" customWidth="1"/>
  </cols>
  <sheetData>
    <row r="1" spans="1:18" ht="27.75" customHeight="1" x14ac:dyDescent="0.15">
      <c r="A1" s="33" t="s">
        <v>2262</v>
      </c>
    </row>
    <row r="2" spans="1:18" x14ac:dyDescent="0.15">
      <c r="A2" s="34" t="s">
        <v>2263</v>
      </c>
    </row>
    <row r="3" spans="1:18" x14ac:dyDescent="0.15">
      <c r="A3" s="38" t="s">
        <v>423</v>
      </c>
    </row>
    <row r="5" spans="1:18" ht="48" customHeight="1" x14ac:dyDescent="0.15">
      <c r="A5" s="20" t="s">
        <v>424</v>
      </c>
      <c r="B5" s="20" t="s">
        <v>2264</v>
      </c>
      <c r="C5" s="83" t="s">
        <v>2265</v>
      </c>
      <c r="D5" s="83" t="s">
        <v>2266</v>
      </c>
      <c r="E5" s="83" t="s">
        <v>2267</v>
      </c>
      <c r="F5" s="83" t="s">
        <v>2268</v>
      </c>
      <c r="G5" s="83" t="s">
        <v>2269</v>
      </c>
      <c r="H5" s="83" t="s">
        <v>1780</v>
      </c>
      <c r="I5" s="83" t="s">
        <v>2270</v>
      </c>
      <c r="J5" s="83" t="s">
        <v>811</v>
      </c>
      <c r="K5" s="83" t="s">
        <v>2271</v>
      </c>
      <c r="L5" s="83" t="s">
        <v>861</v>
      </c>
      <c r="M5" s="83" t="s">
        <v>2272</v>
      </c>
      <c r="N5" s="20" t="s">
        <v>2273</v>
      </c>
      <c r="O5" s="20" t="s">
        <v>2274</v>
      </c>
      <c r="P5" s="20" t="s">
        <v>2275</v>
      </c>
      <c r="Q5" s="20" t="s">
        <v>2276</v>
      </c>
      <c r="R5" s="20" t="s">
        <v>1888</v>
      </c>
    </row>
    <row r="6" spans="1:18" ht="14" x14ac:dyDescent="0.15">
      <c r="A6" s="43" t="s">
        <v>2277</v>
      </c>
      <c r="B6" s="19" t="s">
        <v>2278</v>
      </c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57" t="str">
        <f t="shared" ref="N6:N36" si="0">IF(COUNTA(C6:M6)=0,"",COUNTIF(C6:M6,"D"))</f>
        <v/>
      </c>
      <c r="O6" s="57" t="str">
        <f t="shared" ref="O6:O36" si="1">IF(COUNTA(C6:M6)=0,"",IF(N6=1,"OK",IF(N6=0,"No decider","Multiple deciders")))</f>
        <v/>
      </c>
      <c r="P6" s="44"/>
      <c r="Q6" s="44"/>
      <c r="R6" s="22"/>
    </row>
    <row r="7" spans="1:18" ht="14" x14ac:dyDescent="0.15">
      <c r="A7" s="43" t="s">
        <v>2279</v>
      </c>
      <c r="B7" s="19" t="s">
        <v>2280</v>
      </c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57" t="str">
        <f t="shared" si="0"/>
        <v/>
      </c>
      <c r="O7" s="57" t="str">
        <f t="shared" si="1"/>
        <v/>
      </c>
      <c r="P7" s="44"/>
      <c r="Q7" s="44"/>
      <c r="R7" s="22"/>
    </row>
    <row r="8" spans="1:18" ht="14" x14ac:dyDescent="0.15">
      <c r="A8" s="43" t="s">
        <v>2281</v>
      </c>
      <c r="B8" s="19" t="s">
        <v>2282</v>
      </c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57" t="str">
        <f t="shared" si="0"/>
        <v/>
      </c>
      <c r="O8" s="57" t="str">
        <f t="shared" si="1"/>
        <v/>
      </c>
      <c r="P8" s="44"/>
      <c r="Q8" s="44"/>
      <c r="R8" s="22"/>
    </row>
    <row r="9" spans="1:18" ht="14" x14ac:dyDescent="0.15">
      <c r="A9" s="43" t="s">
        <v>2283</v>
      </c>
      <c r="B9" s="19" t="s">
        <v>2284</v>
      </c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57" t="str">
        <f t="shared" si="0"/>
        <v/>
      </c>
      <c r="O9" s="57" t="str">
        <f t="shared" si="1"/>
        <v/>
      </c>
      <c r="P9" s="44"/>
      <c r="Q9" s="44"/>
      <c r="R9" s="22"/>
    </row>
    <row r="10" spans="1:18" ht="14" x14ac:dyDescent="0.15">
      <c r="A10" s="43" t="s">
        <v>2285</v>
      </c>
      <c r="B10" s="19" t="s">
        <v>2286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57" t="str">
        <f t="shared" si="0"/>
        <v/>
      </c>
      <c r="O10" s="57" t="str">
        <f t="shared" si="1"/>
        <v/>
      </c>
      <c r="P10" s="44"/>
      <c r="Q10" s="44"/>
      <c r="R10" s="22"/>
    </row>
    <row r="11" spans="1:18" ht="14" x14ac:dyDescent="0.15">
      <c r="A11" s="43" t="s">
        <v>2287</v>
      </c>
      <c r="B11" s="19" t="s">
        <v>2288</v>
      </c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57" t="str">
        <f t="shared" si="0"/>
        <v/>
      </c>
      <c r="O11" s="57" t="str">
        <f t="shared" si="1"/>
        <v/>
      </c>
      <c r="P11" s="44"/>
      <c r="Q11" s="44"/>
      <c r="R11" s="22"/>
    </row>
    <row r="12" spans="1:18" ht="14" x14ac:dyDescent="0.15">
      <c r="A12" s="43" t="s">
        <v>2289</v>
      </c>
      <c r="B12" s="19" t="s">
        <v>2290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57" t="str">
        <f t="shared" si="0"/>
        <v/>
      </c>
      <c r="O12" s="57" t="str">
        <f t="shared" si="1"/>
        <v/>
      </c>
      <c r="P12" s="44"/>
      <c r="Q12" s="44"/>
      <c r="R12" s="22"/>
    </row>
    <row r="13" spans="1:18" ht="14" x14ac:dyDescent="0.15">
      <c r="A13" s="43" t="s">
        <v>2291</v>
      </c>
      <c r="B13" s="19" t="s">
        <v>2292</v>
      </c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57" t="str">
        <f t="shared" si="0"/>
        <v/>
      </c>
      <c r="O13" s="57" t="str">
        <f t="shared" si="1"/>
        <v/>
      </c>
      <c r="P13" s="44"/>
      <c r="Q13" s="44"/>
      <c r="R13" s="22"/>
    </row>
    <row r="14" spans="1:18" ht="14" x14ac:dyDescent="0.15">
      <c r="A14" s="43" t="s">
        <v>2293</v>
      </c>
      <c r="B14" s="19" t="s">
        <v>2294</v>
      </c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57" t="str">
        <f t="shared" si="0"/>
        <v/>
      </c>
      <c r="O14" s="57" t="str">
        <f t="shared" si="1"/>
        <v/>
      </c>
      <c r="P14" s="44"/>
      <c r="Q14" s="44"/>
      <c r="R14" s="22"/>
    </row>
    <row r="15" spans="1:18" ht="14" x14ac:dyDescent="0.15">
      <c r="A15" s="43" t="s">
        <v>2295</v>
      </c>
      <c r="B15" s="19" t="s">
        <v>2296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57" t="str">
        <f t="shared" si="0"/>
        <v/>
      </c>
      <c r="O15" s="57" t="str">
        <f t="shared" si="1"/>
        <v/>
      </c>
      <c r="P15" s="44"/>
      <c r="Q15" s="44"/>
      <c r="R15" s="22"/>
    </row>
    <row r="16" spans="1:18" ht="14" x14ac:dyDescent="0.15">
      <c r="A16" s="43" t="s">
        <v>2297</v>
      </c>
      <c r="B16" s="19" t="s">
        <v>2298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57" t="str">
        <f t="shared" si="0"/>
        <v/>
      </c>
      <c r="O16" s="57" t="str">
        <f t="shared" si="1"/>
        <v/>
      </c>
      <c r="P16" s="44"/>
      <c r="Q16" s="44"/>
      <c r="R16" s="22"/>
    </row>
    <row r="17" spans="1:18" ht="14" x14ac:dyDescent="0.15">
      <c r="A17" s="43" t="s">
        <v>2299</v>
      </c>
      <c r="B17" s="19" t="s">
        <v>2300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57" t="str">
        <f t="shared" si="0"/>
        <v/>
      </c>
      <c r="O17" s="57" t="str">
        <f t="shared" si="1"/>
        <v/>
      </c>
      <c r="P17" s="44"/>
      <c r="Q17" s="44"/>
      <c r="R17" s="22"/>
    </row>
    <row r="18" spans="1:18" ht="14" x14ac:dyDescent="0.15">
      <c r="A18" s="43" t="s">
        <v>2301</v>
      </c>
      <c r="B18" s="19" t="s">
        <v>2302</v>
      </c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57" t="str">
        <f t="shared" si="0"/>
        <v/>
      </c>
      <c r="O18" s="57" t="str">
        <f t="shared" si="1"/>
        <v/>
      </c>
      <c r="P18" s="44"/>
      <c r="Q18" s="44"/>
      <c r="R18" s="22"/>
    </row>
    <row r="19" spans="1:18" ht="14" x14ac:dyDescent="0.15">
      <c r="A19" s="43" t="s">
        <v>2303</v>
      </c>
      <c r="B19" s="19" t="s">
        <v>2304</v>
      </c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57" t="str">
        <f t="shared" si="0"/>
        <v/>
      </c>
      <c r="O19" s="57" t="str">
        <f t="shared" si="1"/>
        <v/>
      </c>
      <c r="P19" s="44"/>
      <c r="Q19" s="44"/>
      <c r="R19" s="22"/>
    </row>
    <row r="20" spans="1:18" ht="14" x14ac:dyDescent="0.15">
      <c r="A20" s="43" t="s">
        <v>2305</v>
      </c>
      <c r="B20" s="19" t="s">
        <v>2306</v>
      </c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57" t="str">
        <f t="shared" si="0"/>
        <v/>
      </c>
      <c r="O20" s="57" t="str">
        <f t="shared" si="1"/>
        <v/>
      </c>
      <c r="P20" s="44"/>
      <c r="Q20" s="44"/>
      <c r="R20" s="22"/>
    </row>
    <row r="21" spans="1:18" ht="14" x14ac:dyDescent="0.15">
      <c r="A21" s="43" t="s">
        <v>2307</v>
      </c>
      <c r="B21" s="19" t="s">
        <v>2308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57" t="str">
        <f t="shared" si="0"/>
        <v/>
      </c>
      <c r="O21" s="57" t="str">
        <f t="shared" si="1"/>
        <v/>
      </c>
      <c r="P21" s="44"/>
      <c r="Q21" s="44"/>
      <c r="R21" s="22"/>
    </row>
    <row r="22" spans="1:18" ht="14" x14ac:dyDescent="0.15">
      <c r="A22" s="43" t="s">
        <v>2309</v>
      </c>
      <c r="B22" s="19" t="s">
        <v>2310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57" t="str">
        <f t="shared" si="0"/>
        <v/>
      </c>
      <c r="O22" s="57" t="str">
        <f t="shared" si="1"/>
        <v/>
      </c>
      <c r="P22" s="44"/>
      <c r="Q22" s="44"/>
      <c r="R22" s="22"/>
    </row>
    <row r="23" spans="1:18" ht="14" x14ac:dyDescent="0.15">
      <c r="A23" s="43" t="s">
        <v>2311</v>
      </c>
      <c r="B23" s="19" t="s">
        <v>2312</v>
      </c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57" t="str">
        <f t="shared" si="0"/>
        <v/>
      </c>
      <c r="O23" s="57" t="str">
        <f t="shared" si="1"/>
        <v/>
      </c>
      <c r="P23" s="44"/>
      <c r="Q23" s="44"/>
      <c r="R23" s="22"/>
    </row>
    <row r="24" spans="1:18" ht="14" x14ac:dyDescent="0.15">
      <c r="A24" s="43" t="s">
        <v>2313</v>
      </c>
      <c r="B24" s="19" t="s">
        <v>2314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57" t="str">
        <f t="shared" si="0"/>
        <v/>
      </c>
      <c r="O24" s="57" t="str">
        <f t="shared" si="1"/>
        <v/>
      </c>
      <c r="P24" s="44"/>
      <c r="Q24" s="44"/>
      <c r="R24" s="22"/>
    </row>
    <row r="25" spans="1:18" ht="14" x14ac:dyDescent="0.15">
      <c r="A25" s="43" t="s">
        <v>2315</v>
      </c>
      <c r="B25" s="19" t="s">
        <v>2316</v>
      </c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57" t="str">
        <f t="shared" si="0"/>
        <v/>
      </c>
      <c r="O25" s="57" t="str">
        <f t="shared" si="1"/>
        <v/>
      </c>
      <c r="P25" s="44"/>
      <c r="Q25" s="44"/>
      <c r="R25" s="22"/>
    </row>
    <row r="26" spans="1:18" ht="14" x14ac:dyDescent="0.15">
      <c r="A26" s="43" t="s">
        <v>2317</v>
      </c>
      <c r="B26" s="19" t="s">
        <v>2318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57" t="str">
        <f t="shared" si="0"/>
        <v/>
      </c>
      <c r="O26" s="57" t="str">
        <f t="shared" si="1"/>
        <v/>
      </c>
      <c r="P26" s="44"/>
      <c r="Q26" s="44"/>
      <c r="R26" s="22"/>
    </row>
    <row r="27" spans="1:18" ht="14" x14ac:dyDescent="0.15">
      <c r="A27" s="43" t="s">
        <v>2319</v>
      </c>
      <c r="B27" s="22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57" t="str">
        <f t="shared" si="0"/>
        <v/>
      </c>
      <c r="O27" s="57" t="str">
        <f t="shared" si="1"/>
        <v/>
      </c>
      <c r="P27" s="44"/>
      <c r="Q27" s="44"/>
      <c r="R27" s="22"/>
    </row>
    <row r="28" spans="1:18" ht="14" x14ac:dyDescent="0.15">
      <c r="A28" s="43" t="s">
        <v>2320</v>
      </c>
      <c r="B28" s="22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57" t="str">
        <f t="shared" si="0"/>
        <v/>
      </c>
      <c r="O28" s="57" t="str">
        <f t="shared" si="1"/>
        <v/>
      </c>
      <c r="P28" s="44"/>
      <c r="Q28" s="44"/>
      <c r="R28" s="22"/>
    </row>
    <row r="29" spans="1:18" ht="14" x14ac:dyDescent="0.15">
      <c r="A29" s="43" t="s">
        <v>2321</v>
      </c>
      <c r="B29" s="22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57" t="str">
        <f t="shared" si="0"/>
        <v/>
      </c>
      <c r="O29" s="57" t="str">
        <f t="shared" si="1"/>
        <v/>
      </c>
      <c r="P29" s="44"/>
      <c r="Q29" s="44"/>
      <c r="R29" s="22"/>
    </row>
    <row r="30" spans="1:18" ht="14" x14ac:dyDescent="0.15">
      <c r="A30" s="43" t="s">
        <v>2322</v>
      </c>
      <c r="B30" s="22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57" t="str">
        <f t="shared" si="0"/>
        <v/>
      </c>
      <c r="O30" s="57" t="str">
        <f t="shared" si="1"/>
        <v/>
      </c>
      <c r="P30" s="44"/>
      <c r="Q30" s="44"/>
      <c r="R30" s="22"/>
    </row>
    <row r="31" spans="1:18" ht="14" x14ac:dyDescent="0.15">
      <c r="A31" s="43" t="s">
        <v>2323</v>
      </c>
      <c r="B31" s="22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57" t="str">
        <f t="shared" si="0"/>
        <v/>
      </c>
      <c r="O31" s="57" t="str">
        <f t="shared" si="1"/>
        <v/>
      </c>
      <c r="P31" s="44"/>
      <c r="Q31" s="44"/>
      <c r="R31" s="22"/>
    </row>
    <row r="32" spans="1:18" ht="14" x14ac:dyDescent="0.15">
      <c r="A32" s="43" t="s">
        <v>2324</v>
      </c>
      <c r="B32" s="22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57" t="str">
        <f t="shared" si="0"/>
        <v/>
      </c>
      <c r="O32" s="57" t="str">
        <f t="shared" si="1"/>
        <v/>
      </c>
      <c r="P32" s="44"/>
      <c r="Q32" s="44"/>
      <c r="R32" s="22"/>
    </row>
    <row r="33" spans="1:18" ht="14" x14ac:dyDescent="0.15">
      <c r="A33" s="43" t="s">
        <v>2325</v>
      </c>
      <c r="B33" s="22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57" t="str">
        <f t="shared" si="0"/>
        <v/>
      </c>
      <c r="O33" s="57" t="str">
        <f t="shared" si="1"/>
        <v/>
      </c>
      <c r="P33" s="44"/>
      <c r="Q33" s="44"/>
      <c r="R33" s="22"/>
    </row>
    <row r="34" spans="1:18" ht="14" x14ac:dyDescent="0.15">
      <c r="A34" s="43" t="s">
        <v>2326</v>
      </c>
      <c r="B34" s="22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57" t="str">
        <f t="shared" si="0"/>
        <v/>
      </c>
      <c r="O34" s="57" t="str">
        <f t="shared" si="1"/>
        <v/>
      </c>
      <c r="P34" s="44"/>
      <c r="Q34" s="44"/>
      <c r="R34" s="22"/>
    </row>
    <row r="35" spans="1:18" ht="14" x14ac:dyDescent="0.15">
      <c r="A35" s="43" t="s">
        <v>2327</v>
      </c>
      <c r="B35" s="22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57" t="str">
        <f t="shared" si="0"/>
        <v/>
      </c>
      <c r="O35" s="57" t="str">
        <f t="shared" si="1"/>
        <v/>
      </c>
      <c r="P35" s="44"/>
      <c r="Q35" s="44"/>
      <c r="R35" s="22"/>
    </row>
    <row r="36" spans="1:18" ht="14" x14ac:dyDescent="0.15">
      <c r="A36" s="43" t="s">
        <v>2328</v>
      </c>
      <c r="B36" s="22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57" t="str">
        <f t="shared" si="0"/>
        <v/>
      </c>
      <c r="O36" s="57" t="str">
        <f t="shared" si="1"/>
        <v/>
      </c>
      <c r="P36" s="44"/>
      <c r="Q36" s="44"/>
      <c r="R36" s="22"/>
    </row>
  </sheetData>
  <conditionalFormatting sqref="C6:M36">
    <cfRule type="cellIs" dxfId="44" priority="2" operator="equal">
      <formula>"D"</formula>
    </cfRule>
    <cfRule type="cellIs" dxfId="43" priority="3" operator="equal">
      <formula>"R"</formula>
    </cfRule>
    <cfRule type="cellIs" dxfId="42" priority="4" operator="equal">
      <formula>"A"</formula>
    </cfRule>
    <cfRule type="cellIs" dxfId="41" priority="5" operator="equal">
      <formula>"P"</formula>
    </cfRule>
    <cfRule type="cellIs" dxfId="40" priority="6" operator="equal">
      <formula>"I"</formula>
    </cfRule>
  </conditionalFormatting>
  <conditionalFormatting sqref="O6:O36">
    <cfRule type="cellIs" dxfId="39" priority="7" operator="equal">
      <formula>"OK"</formula>
    </cfRule>
    <cfRule type="cellIs" dxfId="38" priority="8" operator="equal">
      <formula>"No decider"</formula>
    </cfRule>
    <cfRule type="cellIs" dxfId="37" priority="9" operator="equal">
      <formula>"Multiple deciders"</formula>
    </cfRule>
  </conditionalFormatting>
  <pageMargins left="0.4" right="0.4" top="0.5" bottom="0.5" header="0.511811023622047" footer="0.5"/>
  <pageSetup paperSize="9" fitToHeight="0" orientation="landscape" horizontalDpi="300" verticalDpi="300"/>
  <headerFooter>
    <oddFooter>&amp;L&amp;8 CTO Consulting | Operating Model Assessment Toolkit&amp;R&amp;8 &amp;A | 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Invalid entry" error="Please select a value from the list (values are maintained on the Lists tab)." xr:uid="{00000000-0002-0000-0B00-000000000000}">
          <x14:formula1>
            <xm:f>Lists!$AA$2:$AA$6</xm:f>
          </x14:formula1>
          <x14:formula2>
            <xm:f>0</xm:f>
          </x14:formula2>
          <xm:sqref>C6:M36</xm:sqref>
        </x14:dataValidation>
        <x14:dataValidation type="list" allowBlank="1" showErrorMessage="1" errorTitle="Invalid entry" error="Please select a value from the list (values are maintained on the Lists tab)." xr:uid="{00000000-0002-0000-0B00-000001000000}">
          <x14:formula1>
            <xm:f>Lists!$G$2:$G$4</xm:f>
          </x14:formula1>
          <x14:formula2>
            <xm:f>0</xm:f>
          </x14:formula2>
          <xm:sqref>P6:P36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E75B6"/>
    <pageSetUpPr fitToPage="1"/>
  </sheetPr>
  <dimension ref="A1:U156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8.6640625" defaultRowHeight="13" x14ac:dyDescent="0.15"/>
  <cols>
    <col min="1" max="1" width="9" customWidth="1"/>
    <col min="2" max="2" width="24" customWidth="1"/>
    <col min="3" max="3" width="30" customWidth="1"/>
    <col min="4" max="4" width="24" customWidth="1"/>
    <col min="5" max="6" width="16" customWidth="1"/>
    <col min="7" max="7" width="18" customWidth="1"/>
    <col min="8" max="8" width="16" customWidth="1"/>
    <col min="9" max="9" width="9" customWidth="1"/>
    <col min="10" max="10" width="11" customWidth="1"/>
    <col min="11" max="11" width="13" customWidth="1"/>
    <col min="12" max="12" width="12" customWidth="1"/>
    <col min="13" max="13" width="14" customWidth="1"/>
    <col min="14" max="15" width="10" customWidth="1"/>
    <col min="16" max="16" width="12" customWidth="1"/>
    <col min="17" max="17" width="11" customWidth="1"/>
    <col min="18" max="18" width="13" customWidth="1"/>
    <col min="19" max="19" width="10" customWidth="1"/>
    <col min="20" max="20" width="28" customWidth="1"/>
    <col min="21" max="21" width="30" customWidth="1"/>
  </cols>
  <sheetData>
    <row r="1" spans="1:21" ht="27.75" customHeight="1" x14ac:dyDescent="0.15">
      <c r="A1" s="33" t="s">
        <v>2329</v>
      </c>
    </row>
    <row r="2" spans="1:21" x14ac:dyDescent="0.15">
      <c r="A2" s="34" t="s">
        <v>2330</v>
      </c>
    </row>
    <row r="3" spans="1:21" x14ac:dyDescent="0.15">
      <c r="A3" s="38" t="s">
        <v>423</v>
      </c>
    </row>
    <row r="5" spans="1:21" ht="48" customHeight="1" x14ac:dyDescent="0.15">
      <c r="A5" s="20" t="s">
        <v>424</v>
      </c>
      <c r="B5" s="20" t="s">
        <v>2331</v>
      </c>
      <c r="C5" s="20" t="s">
        <v>2332</v>
      </c>
      <c r="D5" s="20" t="s">
        <v>2333</v>
      </c>
      <c r="E5" s="20" t="s">
        <v>2334</v>
      </c>
      <c r="F5" s="20" t="s">
        <v>2335</v>
      </c>
      <c r="G5" s="20" t="s">
        <v>2336</v>
      </c>
      <c r="H5" s="20" t="s">
        <v>2337</v>
      </c>
      <c r="I5" s="20" t="s">
        <v>2338</v>
      </c>
      <c r="J5" s="20" t="s">
        <v>2339</v>
      </c>
      <c r="K5" s="20" t="s">
        <v>2340</v>
      </c>
      <c r="L5" s="20" t="s">
        <v>2341</v>
      </c>
      <c r="M5" s="20" t="s">
        <v>2342</v>
      </c>
      <c r="N5" s="20" t="s">
        <v>2343</v>
      </c>
      <c r="O5" s="20" t="s">
        <v>2344</v>
      </c>
      <c r="P5" s="20" t="s">
        <v>2345</v>
      </c>
      <c r="Q5" s="20" t="s">
        <v>2346</v>
      </c>
      <c r="R5" s="20" t="s">
        <v>2347</v>
      </c>
      <c r="S5" s="20" t="s">
        <v>2348</v>
      </c>
      <c r="T5" s="20" t="s">
        <v>2349</v>
      </c>
      <c r="U5" s="20" t="s">
        <v>1888</v>
      </c>
    </row>
    <row r="6" spans="1:21" ht="28" x14ac:dyDescent="0.15">
      <c r="A6" s="39" t="s">
        <v>436</v>
      </c>
      <c r="B6" s="25" t="s">
        <v>2350</v>
      </c>
      <c r="C6" s="25" t="s">
        <v>2351</v>
      </c>
      <c r="D6" s="25" t="s">
        <v>2352</v>
      </c>
      <c r="E6" s="25" t="s">
        <v>2353</v>
      </c>
      <c r="F6" s="25" t="s">
        <v>2354</v>
      </c>
      <c r="G6" s="25" t="s">
        <v>2355</v>
      </c>
      <c r="H6" s="25" t="s">
        <v>2356</v>
      </c>
      <c r="I6" s="85">
        <v>850</v>
      </c>
      <c r="J6" s="40" t="s">
        <v>2357</v>
      </c>
      <c r="K6" s="69">
        <v>420000</v>
      </c>
      <c r="L6" s="42">
        <v>46568</v>
      </c>
      <c r="M6" s="40" t="s">
        <v>2358</v>
      </c>
      <c r="N6" s="40">
        <v>4</v>
      </c>
      <c r="O6" s="40">
        <v>2</v>
      </c>
      <c r="P6" s="68" t="str">
        <f>IF(AND(ISNUMBER(N6),ISNUMBER(O6)),IF(N6&gt;=Engagement!$C$45,IF(O6&gt;=Engagement!$C$45,"Invest","Migrate"),IF(O6&gt;=Engagement!$C$45,"Tolerate","Eliminate")),"")</f>
        <v>Migrate</v>
      </c>
      <c r="Q6" s="86">
        <f t="shared" ref="Q6:Q37" ca="1" si="0">IF(ISNUMBER(L6),L6-TODAY(),"")</f>
        <v>274</v>
      </c>
      <c r="R6" s="25" t="s">
        <v>2359</v>
      </c>
      <c r="S6" s="40">
        <v>12</v>
      </c>
      <c r="T6" s="25" t="s">
        <v>2360</v>
      </c>
      <c r="U6" s="25" t="s">
        <v>2361</v>
      </c>
    </row>
    <row r="7" spans="1:21" ht="14" x14ac:dyDescent="0.15">
      <c r="A7" s="43" t="s">
        <v>2362</v>
      </c>
      <c r="B7" s="22"/>
      <c r="C7" s="22"/>
      <c r="D7" s="22"/>
      <c r="E7" s="22"/>
      <c r="F7" s="22"/>
      <c r="G7" s="22"/>
      <c r="H7" s="22"/>
      <c r="I7" s="61"/>
      <c r="J7" s="44"/>
      <c r="K7" s="75"/>
      <c r="L7" s="45"/>
      <c r="M7" s="44"/>
      <c r="N7" s="44"/>
      <c r="O7" s="44"/>
      <c r="P7" s="57" t="str">
        <f>IF(AND(ISNUMBER(N7),ISNUMBER(O7)),IF(N7&gt;=Engagement!$C$45,IF(O7&gt;=Engagement!$C$45,"Invest","Migrate"),IF(O7&gt;=Engagement!$C$45,"Tolerate","Eliminate")),"")</f>
        <v/>
      </c>
      <c r="Q7" s="87" t="str">
        <f t="shared" ca="1" si="0"/>
        <v/>
      </c>
      <c r="R7" s="22"/>
      <c r="S7" s="44"/>
      <c r="T7" s="22"/>
      <c r="U7" s="22"/>
    </row>
    <row r="8" spans="1:21" ht="14" x14ac:dyDescent="0.15">
      <c r="A8" s="43" t="s">
        <v>2363</v>
      </c>
      <c r="B8" s="22"/>
      <c r="C8" s="22"/>
      <c r="D8" s="22"/>
      <c r="E8" s="22"/>
      <c r="F8" s="22"/>
      <c r="G8" s="22"/>
      <c r="H8" s="22"/>
      <c r="I8" s="61"/>
      <c r="J8" s="44"/>
      <c r="K8" s="75"/>
      <c r="L8" s="45"/>
      <c r="M8" s="44"/>
      <c r="N8" s="44"/>
      <c r="O8" s="44"/>
      <c r="P8" s="57" t="str">
        <f>IF(AND(ISNUMBER(N8),ISNUMBER(O8)),IF(N8&gt;=Engagement!$C$45,IF(O8&gt;=Engagement!$C$45,"Invest","Migrate"),IF(O8&gt;=Engagement!$C$45,"Tolerate","Eliminate")),"")</f>
        <v/>
      </c>
      <c r="Q8" s="87" t="str">
        <f t="shared" ca="1" si="0"/>
        <v/>
      </c>
      <c r="R8" s="22"/>
      <c r="S8" s="44"/>
      <c r="T8" s="22"/>
      <c r="U8" s="22"/>
    </row>
    <row r="9" spans="1:21" ht="14" x14ac:dyDescent="0.15">
      <c r="A9" s="43" t="s">
        <v>2364</v>
      </c>
      <c r="B9" s="22"/>
      <c r="C9" s="22"/>
      <c r="D9" s="22"/>
      <c r="E9" s="22"/>
      <c r="F9" s="22"/>
      <c r="G9" s="22"/>
      <c r="H9" s="22"/>
      <c r="I9" s="61"/>
      <c r="J9" s="44"/>
      <c r="K9" s="75"/>
      <c r="L9" s="45"/>
      <c r="M9" s="44"/>
      <c r="N9" s="44"/>
      <c r="O9" s="44"/>
      <c r="P9" s="57" t="str">
        <f>IF(AND(ISNUMBER(N9),ISNUMBER(O9)),IF(N9&gt;=Engagement!$C$45,IF(O9&gt;=Engagement!$C$45,"Invest","Migrate"),IF(O9&gt;=Engagement!$C$45,"Tolerate","Eliminate")),"")</f>
        <v/>
      </c>
      <c r="Q9" s="87" t="str">
        <f t="shared" ca="1" si="0"/>
        <v/>
      </c>
      <c r="R9" s="22"/>
      <c r="S9" s="44"/>
      <c r="T9" s="22"/>
      <c r="U9" s="22"/>
    </row>
    <row r="10" spans="1:21" ht="14" x14ac:dyDescent="0.15">
      <c r="A10" s="43" t="s">
        <v>2365</v>
      </c>
      <c r="B10" s="22"/>
      <c r="C10" s="22"/>
      <c r="D10" s="22"/>
      <c r="E10" s="22"/>
      <c r="F10" s="22"/>
      <c r="G10" s="22"/>
      <c r="H10" s="22"/>
      <c r="I10" s="61"/>
      <c r="J10" s="44"/>
      <c r="K10" s="75"/>
      <c r="L10" s="45"/>
      <c r="M10" s="44"/>
      <c r="N10" s="44"/>
      <c r="O10" s="44"/>
      <c r="P10" s="57" t="str">
        <f>IF(AND(ISNUMBER(N10),ISNUMBER(O10)),IF(N10&gt;=Engagement!$C$45,IF(O10&gt;=Engagement!$C$45,"Invest","Migrate"),IF(O10&gt;=Engagement!$C$45,"Tolerate","Eliminate")),"")</f>
        <v/>
      </c>
      <c r="Q10" s="87" t="str">
        <f t="shared" ca="1" si="0"/>
        <v/>
      </c>
      <c r="R10" s="22"/>
      <c r="S10" s="44"/>
      <c r="T10" s="22"/>
      <c r="U10" s="22"/>
    </row>
    <row r="11" spans="1:21" ht="14" x14ac:dyDescent="0.15">
      <c r="A11" s="43" t="s">
        <v>2366</v>
      </c>
      <c r="B11" s="22"/>
      <c r="C11" s="22"/>
      <c r="D11" s="22"/>
      <c r="E11" s="22"/>
      <c r="F11" s="22"/>
      <c r="G11" s="22"/>
      <c r="H11" s="22"/>
      <c r="I11" s="61"/>
      <c r="J11" s="44"/>
      <c r="K11" s="75"/>
      <c r="L11" s="45"/>
      <c r="M11" s="44"/>
      <c r="N11" s="44"/>
      <c r="O11" s="44"/>
      <c r="P11" s="57" t="str">
        <f>IF(AND(ISNUMBER(N11),ISNUMBER(O11)),IF(N11&gt;=Engagement!$C$45,IF(O11&gt;=Engagement!$C$45,"Invest","Migrate"),IF(O11&gt;=Engagement!$C$45,"Tolerate","Eliminate")),"")</f>
        <v/>
      </c>
      <c r="Q11" s="87" t="str">
        <f t="shared" ca="1" si="0"/>
        <v/>
      </c>
      <c r="R11" s="22"/>
      <c r="S11" s="44"/>
      <c r="T11" s="22"/>
      <c r="U11" s="22"/>
    </row>
    <row r="12" spans="1:21" ht="14" x14ac:dyDescent="0.15">
      <c r="A12" s="43" t="s">
        <v>2367</v>
      </c>
      <c r="B12" s="22"/>
      <c r="C12" s="22"/>
      <c r="D12" s="22"/>
      <c r="E12" s="22"/>
      <c r="F12" s="22"/>
      <c r="G12" s="22"/>
      <c r="H12" s="22"/>
      <c r="I12" s="61"/>
      <c r="J12" s="44"/>
      <c r="K12" s="75"/>
      <c r="L12" s="45"/>
      <c r="M12" s="44"/>
      <c r="N12" s="44"/>
      <c r="O12" s="44"/>
      <c r="P12" s="57" t="str">
        <f>IF(AND(ISNUMBER(N12),ISNUMBER(O12)),IF(N12&gt;=Engagement!$C$45,IF(O12&gt;=Engagement!$C$45,"Invest","Migrate"),IF(O12&gt;=Engagement!$C$45,"Tolerate","Eliminate")),"")</f>
        <v/>
      </c>
      <c r="Q12" s="87" t="str">
        <f t="shared" ca="1" si="0"/>
        <v/>
      </c>
      <c r="R12" s="22"/>
      <c r="S12" s="44"/>
      <c r="T12" s="22"/>
      <c r="U12" s="22"/>
    </row>
    <row r="13" spans="1:21" ht="14" x14ac:dyDescent="0.15">
      <c r="A13" s="43" t="s">
        <v>2368</v>
      </c>
      <c r="B13" s="22"/>
      <c r="C13" s="22"/>
      <c r="D13" s="22"/>
      <c r="E13" s="22"/>
      <c r="F13" s="22"/>
      <c r="G13" s="22"/>
      <c r="H13" s="22"/>
      <c r="I13" s="61"/>
      <c r="J13" s="44"/>
      <c r="K13" s="75"/>
      <c r="L13" s="45"/>
      <c r="M13" s="44"/>
      <c r="N13" s="44"/>
      <c r="O13" s="44"/>
      <c r="P13" s="57" t="str">
        <f>IF(AND(ISNUMBER(N13),ISNUMBER(O13)),IF(N13&gt;=Engagement!$C$45,IF(O13&gt;=Engagement!$C$45,"Invest","Migrate"),IF(O13&gt;=Engagement!$C$45,"Tolerate","Eliminate")),"")</f>
        <v/>
      </c>
      <c r="Q13" s="87" t="str">
        <f t="shared" ca="1" si="0"/>
        <v/>
      </c>
      <c r="R13" s="22"/>
      <c r="S13" s="44"/>
      <c r="T13" s="22"/>
      <c r="U13" s="22"/>
    </row>
    <row r="14" spans="1:21" ht="14" x14ac:dyDescent="0.15">
      <c r="A14" s="43" t="s">
        <v>2369</v>
      </c>
      <c r="B14" s="22"/>
      <c r="C14" s="22"/>
      <c r="D14" s="22"/>
      <c r="E14" s="22"/>
      <c r="F14" s="22"/>
      <c r="G14" s="22"/>
      <c r="H14" s="22"/>
      <c r="I14" s="61"/>
      <c r="J14" s="44"/>
      <c r="K14" s="75"/>
      <c r="L14" s="45"/>
      <c r="M14" s="44"/>
      <c r="N14" s="44"/>
      <c r="O14" s="44"/>
      <c r="P14" s="57" t="str">
        <f>IF(AND(ISNUMBER(N14),ISNUMBER(O14)),IF(N14&gt;=Engagement!$C$45,IF(O14&gt;=Engagement!$C$45,"Invest","Migrate"),IF(O14&gt;=Engagement!$C$45,"Tolerate","Eliminate")),"")</f>
        <v/>
      </c>
      <c r="Q14" s="87" t="str">
        <f t="shared" ca="1" si="0"/>
        <v/>
      </c>
      <c r="R14" s="22"/>
      <c r="S14" s="44"/>
      <c r="T14" s="22"/>
      <c r="U14" s="22"/>
    </row>
    <row r="15" spans="1:21" ht="14" x14ac:dyDescent="0.15">
      <c r="A15" s="43" t="s">
        <v>2370</v>
      </c>
      <c r="B15" s="22"/>
      <c r="C15" s="22"/>
      <c r="D15" s="22"/>
      <c r="E15" s="22"/>
      <c r="F15" s="22"/>
      <c r="G15" s="22"/>
      <c r="H15" s="22"/>
      <c r="I15" s="61"/>
      <c r="J15" s="44"/>
      <c r="K15" s="75"/>
      <c r="L15" s="45"/>
      <c r="M15" s="44"/>
      <c r="N15" s="44"/>
      <c r="O15" s="44"/>
      <c r="P15" s="57" t="str">
        <f>IF(AND(ISNUMBER(N15),ISNUMBER(O15)),IF(N15&gt;=Engagement!$C$45,IF(O15&gt;=Engagement!$C$45,"Invest","Migrate"),IF(O15&gt;=Engagement!$C$45,"Tolerate","Eliminate")),"")</f>
        <v/>
      </c>
      <c r="Q15" s="87" t="str">
        <f t="shared" ca="1" si="0"/>
        <v/>
      </c>
      <c r="R15" s="22"/>
      <c r="S15" s="44"/>
      <c r="T15" s="22"/>
      <c r="U15" s="22"/>
    </row>
    <row r="16" spans="1:21" ht="14" x14ac:dyDescent="0.15">
      <c r="A16" s="43" t="s">
        <v>2371</v>
      </c>
      <c r="B16" s="22"/>
      <c r="C16" s="22"/>
      <c r="D16" s="22"/>
      <c r="E16" s="22"/>
      <c r="F16" s="22"/>
      <c r="G16" s="22"/>
      <c r="H16" s="22"/>
      <c r="I16" s="61"/>
      <c r="J16" s="44"/>
      <c r="K16" s="75"/>
      <c r="L16" s="45"/>
      <c r="M16" s="44"/>
      <c r="N16" s="44"/>
      <c r="O16" s="44"/>
      <c r="P16" s="57" t="str">
        <f>IF(AND(ISNUMBER(N16),ISNUMBER(O16)),IF(N16&gt;=Engagement!$C$45,IF(O16&gt;=Engagement!$C$45,"Invest","Migrate"),IF(O16&gt;=Engagement!$C$45,"Tolerate","Eliminate")),"")</f>
        <v/>
      </c>
      <c r="Q16" s="87" t="str">
        <f t="shared" ca="1" si="0"/>
        <v/>
      </c>
      <c r="R16" s="22"/>
      <c r="S16" s="44"/>
      <c r="T16" s="22"/>
      <c r="U16" s="22"/>
    </row>
    <row r="17" spans="1:21" ht="14" x14ac:dyDescent="0.15">
      <c r="A17" s="43" t="s">
        <v>2372</v>
      </c>
      <c r="B17" s="22"/>
      <c r="C17" s="22"/>
      <c r="D17" s="22"/>
      <c r="E17" s="22"/>
      <c r="F17" s="22"/>
      <c r="G17" s="22"/>
      <c r="H17" s="22"/>
      <c r="I17" s="61"/>
      <c r="J17" s="44"/>
      <c r="K17" s="75"/>
      <c r="L17" s="45"/>
      <c r="M17" s="44"/>
      <c r="N17" s="44"/>
      <c r="O17" s="44"/>
      <c r="P17" s="57" t="str">
        <f>IF(AND(ISNUMBER(N17),ISNUMBER(O17)),IF(N17&gt;=Engagement!$C$45,IF(O17&gt;=Engagement!$C$45,"Invest","Migrate"),IF(O17&gt;=Engagement!$C$45,"Tolerate","Eliminate")),"")</f>
        <v/>
      </c>
      <c r="Q17" s="87" t="str">
        <f t="shared" ca="1" si="0"/>
        <v/>
      </c>
      <c r="R17" s="22"/>
      <c r="S17" s="44"/>
      <c r="T17" s="22"/>
      <c r="U17" s="22"/>
    </row>
    <row r="18" spans="1:21" ht="14" x14ac:dyDescent="0.15">
      <c r="A18" s="43" t="s">
        <v>2373</v>
      </c>
      <c r="B18" s="22"/>
      <c r="C18" s="22"/>
      <c r="D18" s="22"/>
      <c r="E18" s="22"/>
      <c r="F18" s="22"/>
      <c r="G18" s="22"/>
      <c r="H18" s="22"/>
      <c r="I18" s="61"/>
      <c r="J18" s="44"/>
      <c r="K18" s="75"/>
      <c r="L18" s="45"/>
      <c r="M18" s="44"/>
      <c r="N18" s="44"/>
      <c r="O18" s="44"/>
      <c r="P18" s="57" t="str">
        <f>IF(AND(ISNUMBER(N18),ISNUMBER(O18)),IF(N18&gt;=Engagement!$C$45,IF(O18&gt;=Engagement!$C$45,"Invest","Migrate"),IF(O18&gt;=Engagement!$C$45,"Tolerate","Eliminate")),"")</f>
        <v/>
      </c>
      <c r="Q18" s="87" t="str">
        <f t="shared" ca="1" si="0"/>
        <v/>
      </c>
      <c r="R18" s="22"/>
      <c r="S18" s="44"/>
      <c r="T18" s="22"/>
      <c r="U18" s="22"/>
    </row>
    <row r="19" spans="1:21" ht="14" x14ac:dyDescent="0.15">
      <c r="A19" s="43" t="s">
        <v>2374</v>
      </c>
      <c r="B19" s="22"/>
      <c r="C19" s="22"/>
      <c r="D19" s="22"/>
      <c r="E19" s="22"/>
      <c r="F19" s="22"/>
      <c r="G19" s="22"/>
      <c r="H19" s="22"/>
      <c r="I19" s="61"/>
      <c r="J19" s="44"/>
      <c r="K19" s="75"/>
      <c r="L19" s="45"/>
      <c r="M19" s="44"/>
      <c r="N19" s="44"/>
      <c r="O19" s="44"/>
      <c r="P19" s="57" t="str">
        <f>IF(AND(ISNUMBER(N19),ISNUMBER(O19)),IF(N19&gt;=Engagement!$C$45,IF(O19&gt;=Engagement!$C$45,"Invest","Migrate"),IF(O19&gt;=Engagement!$C$45,"Tolerate","Eliminate")),"")</f>
        <v/>
      </c>
      <c r="Q19" s="87" t="str">
        <f t="shared" ca="1" si="0"/>
        <v/>
      </c>
      <c r="R19" s="22"/>
      <c r="S19" s="44"/>
      <c r="T19" s="22"/>
      <c r="U19" s="22"/>
    </row>
    <row r="20" spans="1:21" ht="14" x14ac:dyDescent="0.15">
      <c r="A20" s="43" t="s">
        <v>2375</v>
      </c>
      <c r="B20" s="22"/>
      <c r="C20" s="22"/>
      <c r="D20" s="22"/>
      <c r="E20" s="22"/>
      <c r="F20" s="22"/>
      <c r="G20" s="22"/>
      <c r="H20" s="22"/>
      <c r="I20" s="61"/>
      <c r="J20" s="44"/>
      <c r="K20" s="75"/>
      <c r="L20" s="45"/>
      <c r="M20" s="44"/>
      <c r="N20" s="44"/>
      <c r="O20" s="44"/>
      <c r="P20" s="57" t="str">
        <f>IF(AND(ISNUMBER(N20),ISNUMBER(O20)),IF(N20&gt;=Engagement!$C$45,IF(O20&gt;=Engagement!$C$45,"Invest","Migrate"),IF(O20&gt;=Engagement!$C$45,"Tolerate","Eliminate")),"")</f>
        <v/>
      </c>
      <c r="Q20" s="87" t="str">
        <f t="shared" ca="1" si="0"/>
        <v/>
      </c>
      <c r="R20" s="22"/>
      <c r="S20" s="44"/>
      <c r="T20" s="22"/>
      <c r="U20" s="22"/>
    </row>
    <row r="21" spans="1:21" ht="14" x14ac:dyDescent="0.15">
      <c r="A21" s="43" t="s">
        <v>2376</v>
      </c>
      <c r="B21" s="22"/>
      <c r="C21" s="22"/>
      <c r="D21" s="22"/>
      <c r="E21" s="22"/>
      <c r="F21" s="22"/>
      <c r="G21" s="22"/>
      <c r="H21" s="22"/>
      <c r="I21" s="61"/>
      <c r="J21" s="44"/>
      <c r="K21" s="75"/>
      <c r="L21" s="45"/>
      <c r="M21" s="44"/>
      <c r="N21" s="44"/>
      <c r="O21" s="44"/>
      <c r="P21" s="57" t="str">
        <f>IF(AND(ISNUMBER(N21),ISNUMBER(O21)),IF(N21&gt;=Engagement!$C$45,IF(O21&gt;=Engagement!$C$45,"Invest","Migrate"),IF(O21&gt;=Engagement!$C$45,"Tolerate","Eliminate")),"")</f>
        <v/>
      </c>
      <c r="Q21" s="87" t="str">
        <f t="shared" ca="1" si="0"/>
        <v/>
      </c>
      <c r="R21" s="22"/>
      <c r="S21" s="44"/>
      <c r="T21" s="22"/>
      <c r="U21" s="22"/>
    </row>
    <row r="22" spans="1:21" ht="14" x14ac:dyDescent="0.15">
      <c r="A22" s="43" t="s">
        <v>2377</v>
      </c>
      <c r="B22" s="22"/>
      <c r="C22" s="22"/>
      <c r="D22" s="22"/>
      <c r="E22" s="22"/>
      <c r="F22" s="22"/>
      <c r="G22" s="22"/>
      <c r="H22" s="22"/>
      <c r="I22" s="61"/>
      <c r="J22" s="44"/>
      <c r="K22" s="75"/>
      <c r="L22" s="45"/>
      <c r="M22" s="44"/>
      <c r="N22" s="44"/>
      <c r="O22" s="44"/>
      <c r="P22" s="57" t="str">
        <f>IF(AND(ISNUMBER(N22),ISNUMBER(O22)),IF(N22&gt;=Engagement!$C$45,IF(O22&gt;=Engagement!$C$45,"Invest","Migrate"),IF(O22&gt;=Engagement!$C$45,"Tolerate","Eliminate")),"")</f>
        <v/>
      </c>
      <c r="Q22" s="87" t="str">
        <f t="shared" ca="1" si="0"/>
        <v/>
      </c>
      <c r="R22" s="22"/>
      <c r="S22" s="44"/>
      <c r="T22" s="22"/>
      <c r="U22" s="22"/>
    </row>
    <row r="23" spans="1:21" ht="14" x14ac:dyDescent="0.15">
      <c r="A23" s="43" t="s">
        <v>2378</v>
      </c>
      <c r="B23" s="22"/>
      <c r="C23" s="22"/>
      <c r="D23" s="22"/>
      <c r="E23" s="22"/>
      <c r="F23" s="22"/>
      <c r="G23" s="22"/>
      <c r="H23" s="22"/>
      <c r="I23" s="61"/>
      <c r="J23" s="44"/>
      <c r="K23" s="75"/>
      <c r="L23" s="45"/>
      <c r="M23" s="44"/>
      <c r="N23" s="44"/>
      <c r="O23" s="44"/>
      <c r="P23" s="57" t="str">
        <f>IF(AND(ISNUMBER(N23),ISNUMBER(O23)),IF(N23&gt;=Engagement!$C$45,IF(O23&gt;=Engagement!$C$45,"Invest","Migrate"),IF(O23&gt;=Engagement!$C$45,"Tolerate","Eliminate")),"")</f>
        <v/>
      </c>
      <c r="Q23" s="87" t="str">
        <f t="shared" ca="1" si="0"/>
        <v/>
      </c>
      <c r="R23" s="22"/>
      <c r="S23" s="44"/>
      <c r="T23" s="22"/>
      <c r="U23" s="22"/>
    </row>
    <row r="24" spans="1:21" ht="14" x14ac:dyDescent="0.15">
      <c r="A24" s="43" t="s">
        <v>2379</v>
      </c>
      <c r="B24" s="22"/>
      <c r="C24" s="22"/>
      <c r="D24" s="22"/>
      <c r="E24" s="22"/>
      <c r="F24" s="22"/>
      <c r="G24" s="22"/>
      <c r="H24" s="22"/>
      <c r="I24" s="61"/>
      <c r="J24" s="44"/>
      <c r="K24" s="75"/>
      <c r="L24" s="45"/>
      <c r="M24" s="44"/>
      <c r="N24" s="44"/>
      <c r="O24" s="44"/>
      <c r="P24" s="57" t="str">
        <f>IF(AND(ISNUMBER(N24),ISNUMBER(O24)),IF(N24&gt;=Engagement!$C$45,IF(O24&gt;=Engagement!$C$45,"Invest","Migrate"),IF(O24&gt;=Engagement!$C$45,"Tolerate","Eliminate")),"")</f>
        <v/>
      </c>
      <c r="Q24" s="87" t="str">
        <f t="shared" ca="1" si="0"/>
        <v/>
      </c>
      <c r="R24" s="22"/>
      <c r="S24" s="44"/>
      <c r="T24" s="22"/>
      <c r="U24" s="22"/>
    </row>
    <row r="25" spans="1:21" ht="14" x14ac:dyDescent="0.15">
      <c r="A25" s="43" t="s">
        <v>2380</v>
      </c>
      <c r="B25" s="22"/>
      <c r="C25" s="22"/>
      <c r="D25" s="22"/>
      <c r="E25" s="22"/>
      <c r="F25" s="22"/>
      <c r="G25" s="22"/>
      <c r="H25" s="22"/>
      <c r="I25" s="61"/>
      <c r="J25" s="44"/>
      <c r="K25" s="75"/>
      <c r="L25" s="45"/>
      <c r="M25" s="44"/>
      <c r="N25" s="44"/>
      <c r="O25" s="44"/>
      <c r="P25" s="57" t="str">
        <f>IF(AND(ISNUMBER(N25),ISNUMBER(O25)),IF(N25&gt;=Engagement!$C$45,IF(O25&gt;=Engagement!$C$45,"Invest","Migrate"),IF(O25&gt;=Engagement!$C$45,"Tolerate","Eliminate")),"")</f>
        <v/>
      </c>
      <c r="Q25" s="87" t="str">
        <f t="shared" ca="1" si="0"/>
        <v/>
      </c>
      <c r="R25" s="22"/>
      <c r="S25" s="44"/>
      <c r="T25" s="22"/>
      <c r="U25" s="22"/>
    </row>
    <row r="26" spans="1:21" ht="14" x14ac:dyDescent="0.15">
      <c r="A26" s="43" t="s">
        <v>2381</v>
      </c>
      <c r="B26" s="22"/>
      <c r="C26" s="22"/>
      <c r="D26" s="22"/>
      <c r="E26" s="22"/>
      <c r="F26" s="22"/>
      <c r="G26" s="22"/>
      <c r="H26" s="22"/>
      <c r="I26" s="61"/>
      <c r="J26" s="44"/>
      <c r="K26" s="75"/>
      <c r="L26" s="45"/>
      <c r="M26" s="44"/>
      <c r="N26" s="44"/>
      <c r="O26" s="44"/>
      <c r="P26" s="57" t="str">
        <f>IF(AND(ISNUMBER(N26),ISNUMBER(O26)),IF(N26&gt;=Engagement!$C$45,IF(O26&gt;=Engagement!$C$45,"Invest","Migrate"),IF(O26&gt;=Engagement!$C$45,"Tolerate","Eliminate")),"")</f>
        <v/>
      </c>
      <c r="Q26" s="87" t="str">
        <f t="shared" ca="1" si="0"/>
        <v/>
      </c>
      <c r="R26" s="22"/>
      <c r="S26" s="44"/>
      <c r="T26" s="22"/>
      <c r="U26" s="22"/>
    </row>
    <row r="27" spans="1:21" ht="14" x14ac:dyDescent="0.15">
      <c r="A27" s="43" t="s">
        <v>2382</v>
      </c>
      <c r="B27" s="22"/>
      <c r="C27" s="22"/>
      <c r="D27" s="22"/>
      <c r="E27" s="22"/>
      <c r="F27" s="22"/>
      <c r="G27" s="22"/>
      <c r="H27" s="22"/>
      <c r="I27" s="61"/>
      <c r="J27" s="44"/>
      <c r="K27" s="75"/>
      <c r="L27" s="45"/>
      <c r="M27" s="44"/>
      <c r="N27" s="44"/>
      <c r="O27" s="44"/>
      <c r="P27" s="57" t="str">
        <f>IF(AND(ISNUMBER(N27),ISNUMBER(O27)),IF(N27&gt;=Engagement!$C$45,IF(O27&gt;=Engagement!$C$45,"Invest","Migrate"),IF(O27&gt;=Engagement!$C$45,"Tolerate","Eliminate")),"")</f>
        <v/>
      </c>
      <c r="Q27" s="87" t="str">
        <f t="shared" ca="1" si="0"/>
        <v/>
      </c>
      <c r="R27" s="22"/>
      <c r="S27" s="44"/>
      <c r="T27" s="22"/>
      <c r="U27" s="22"/>
    </row>
    <row r="28" spans="1:21" ht="14" x14ac:dyDescent="0.15">
      <c r="A28" s="43" t="s">
        <v>2383</v>
      </c>
      <c r="B28" s="22"/>
      <c r="C28" s="22"/>
      <c r="D28" s="22"/>
      <c r="E28" s="22"/>
      <c r="F28" s="22"/>
      <c r="G28" s="22"/>
      <c r="H28" s="22"/>
      <c r="I28" s="61"/>
      <c r="J28" s="44"/>
      <c r="K28" s="75"/>
      <c r="L28" s="45"/>
      <c r="M28" s="44"/>
      <c r="N28" s="44"/>
      <c r="O28" s="44"/>
      <c r="P28" s="57" t="str">
        <f>IF(AND(ISNUMBER(N28),ISNUMBER(O28)),IF(N28&gt;=Engagement!$C$45,IF(O28&gt;=Engagement!$C$45,"Invest","Migrate"),IF(O28&gt;=Engagement!$C$45,"Tolerate","Eliminate")),"")</f>
        <v/>
      </c>
      <c r="Q28" s="87" t="str">
        <f t="shared" ca="1" si="0"/>
        <v/>
      </c>
      <c r="R28" s="22"/>
      <c r="S28" s="44"/>
      <c r="T28" s="22"/>
      <c r="U28" s="22"/>
    </row>
    <row r="29" spans="1:21" ht="14" x14ac:dyDescent="0.15">
      <c r="A29" s="43" t="s">
        <v>2384</v>
      </c>
      <c r="B29" s="22"/>
      <c r="C29" s="22"/>
      <c r="D29" s="22"/>
      <c r="E29" s="22"/>
      <c r="F29" s="22"/>
      <c r="G29" s="22"/>
      <c r="H29" s="22"/>
      <c r="I29" s="61"/>
      <c r="J29" s="44"/>
      <c r="K29" s="75"/>
      <c r="L29" s="45"/>
      <c r="M29" s="44"/>
      <c r="N29" s="44"/>
      <c r="O29" s="44"/>
      <c r="P29" s="57" t="str">
        <f>IF(AND(ISNUMBER(N29),ISNUMBER(O29)),IF(N29&gt;=Engagement!$C$45,IF(O29&gt;=Engagement!$C$45,"Invest","Migrate"),IF(O29&gt;=Engagement!$C$45,"Tolerate","Eliminate")),"")</f>
        <v/>
      </c>
      <c r="Q29" s="87" t="str">
        <f t="shared" ca="1" si="0"/>
        <v/>
      </c>
      <c r="R29" s="22"/>
      <c r="S29" s="44"/>
      <c r="T29" s="22"/>
      <c r="U29" s="22"/>
    </row>
    <row r="30" spans="1:21" ht="14" x14ac:dyDescent="0.15">
      <c r="A30" s="43" t="s">
        <v>2385</v>
      </c>
      <c r="B30" s="22"/>
      <c r="C30" s="22"/>
      <c r="D30" s="22"/>
      <c r="E30" s="22"/>
      <c r="F30" s="22"/>
      <c r="G30" s="22"/>
      <c r="H30" s="22"/>
      <c r="I30" s="61"/>
      <c r="J30" s="44"/>
      <c r="K30" s="75"/>
      <c r="L30" s="45"/>
      <c r="M30" s="44"/>
      <c r="N30" s="44"/>
      <c r="O30" s="44"/>
      <c r="P30" s="57" t="str">
        <f>IF(AND(ISNUMBER(N30),ISNUMBER(O30)),IF(N30&gt;=Engagement!$C$45,IF(O30&gt;=Engagement!$C$45,"Invest","Migrate"),IF(O30&gt;=Engagement!$C$45,"Tolerate","Eliminate")),"")</f>
        <v/>
      </c>
      <c r="Q30" s="87" t="str">
        <f t="shared" ca="1" si="0"/>
        <v/>
      </c>
      <c r="R30" s="22"/>
      <c r="S30" s="44"/>
      <c r="T30" s="22"/>
      <c r="U30" s="22"/>
    </row>
    <row r="31" spans="1:21" ht="14" x14ac:dyDescent="0.15">
      <c r="A31" s="43" t="s">
        <v>2386</v>
      </c>
      <c r="B31" s="22"/>
      <c r="C31" s="22"/>
      <c r="D31" s="22"/>
      <c r="E31" s="22"/>
      <c r="F31" s="22"/>
      <c r="G31" s="22"/>
      <c r="H31" s="22"/>
      <c r="I31" s="61"/>
      <c r="J31" s="44"/>
      <c r="K31" s="75"/>
      <c r="L31" s="45"/>
      <c r="M31" s="44"/>
      <c r="N31" s="44"/>
      <c r="O31" s="44"/>
      <c r="P31" s="57" t="str">
        <f>IF(AND(ISNUMBER(N31),ISNUMBER(O31)),IF(N31&gt;=Engagement!$C$45,IF(O31&gt;=Engagement!$C$45,"Invest","Migrate"),IF(O31&gt;=Engagement!$C$45,"Tolerate","Eliminate")),"")</f>
        <v/>
      </c>
      <c r="Q31" s="87" t="str">
        <f t="shared" ca="1" si="0"/>
        <v/>
      </c>
      <c r="R31" s="22"/>
      <c r="S31" s="44"/>
      <c r="T31" s="22"/>
      <c r="U31" s="22"/>
    </row>
    <row r="32" spans="1:21" ht="14" x14ac:dyDescent="0.15">
      <c r="A32" s="43" t="s">
        <v>2387</v>
      </c>
      <c r="B32" s="22"/>
      <c r="C32" s="22"/>
      <c r="D32" s="22"/>
      <c r="E32" s="22"/>
      <c r="F32" s="22"/>
      <c r="G32" s="22"/>
      <c r="H32" s="22"/>
      <c r="I32" s="61"/>
      <c r="J32" s="44"/>
      <c r="K32" s="75"/>
      <c r="L32" s="45"/>
      <c r="M32" s="44"/>
      <c r="N32" s="44"/>
      <c r="O32" s="44"/>
      <c r="P32" s="57" t="str">
        <f>IF(AND(ISNUMBER(N32),ISNUMBER(O32)),IF(N32&gt;=Engagement!$C$45,IF(O32&gt;=Engagement!$C$45,"Invest","Migrate"),IF(O32&gt;=Engagement!$C$45,"Tolerate","Eliminate")),"")</f>
        <v/>
      </c>
      <c r="Q32" s="87" t="str">
        <f t="shared" ca="1" si="0"/>
        <v/>
      </c>
      <c r="R32" s="22"/>
      <c r="S32" s="44"/>
      <c r="T32" s="22"/>
      <c r="U32" s="22"/>
    </row>
    <row r="33" spans="1:21" ht="14" x14ac:dyDescent="0.15">
      <c r="A33" s="43" t="s">
        <v>2388</v>
      </c>
      <c r="B33" s="22"/>
      <c r="C33" s="22"/>
      <c r="D33" s="22"/>
      <c r="E33" s="22"/>
      <c r="F33" s="22"/>
      <c r="G33" s="22"/>
      <c r="H33" s="22"/>
      <c r="I33" s="61"/>
      <c r="J33" s="44"/>
      <c r="K33" s="75"/>
      <c r="L33" s="45"/>
      <c r="M33" s="44"/>
      <c r="N33" s="44"/>
      <c r="O33" s="44"/>
      <c r="P33" s="57" t="str">
        <f>IF(AND(ISNUMBER(N33),ISNUMBER(O33)),IF(N33&gt;=Engagement!$C$45,IF(O33&gt;=Engagement!$C$45,"Invest","Migrate"),IF(O33&gt;=Engagement!$C$45,"Tolerate","Eliminate")),"")</f>
        <v/>
      </c>
      <c r="Q33" s="87" t="str">
        <f t="shared" ca="1" si="0"/>
        <v/>
      </c>
      <c r="R33" s="22"/>
      <c r="S33" s="44"/>
      <c r="T33" s="22"/>
      <c r="U33" s="22"/>
    </row>
    <row r="34" spans="1:21" ht="14" x14ac:dyDescent="0.15">
      <c r="A34" s="43" t="s">
        <v>2389</v>
      </c>
      <c r="B34" s="22"/>
      <c r="C34" s="22"/>
      <c r="D34" s="22"/>
      <c r="E34" s="22"/>
      <c r="F34" s="22"/>
      <c r="G34" s="22"/>
      <c r="H34" s="22"/>
      <c r="I34" s="61"/>
      <c r="J34" s="44"/>
      <c r="K34" s="75"/>
      <c r="L34" s="45"/>
      <c r="M34" s="44"/>
      <c r="N34" s="44"/>
      <c r="O34" s="44"/>
      <c r="P34" s="57" t="str">
        <f>IF(AND(ISNUMBER(N34),ISNUMBER(O34)),IF(N34&gt;=Engagement!$C$45,IF(O34&gt;=Engagement!$C$45,"Invest","Migrate"),IF(O34&gt;=Engagement!$C$45,"Tolerate","Eliminate")),"")</f>
        <v/>
      </c>
      <c r="Q34" s="87" t="str">
        <f t="shared" ca="1" si="0"/>
        <v/>
      </c>
      <c r="R34" s="22"/>
      <c r="S34" s="44"/>
      <c r="T34" s="22"/>
      <c r="U34" s="22"/>
    </row>
    <row r="35" spans="1:21" ht="14" x14ac:dyDescent="0.15">
      <c r="A35" s="43" t="s">
        <v>2390</v>
      </c>
      <c r="B35" s="22"/>
      <c r="C35" s="22"/>
      <c r="D35" s="22"/>
      <c r="E35" s="22"/>
      <c r="F35" s="22"/>
      <c r="G35" s="22"/>
      <c r="H35" s="22"/>
      <c r="I35" s="61"/>
      <c r="J35" s="44"/>
      <c r="K35" s="75"/>
      <c r="L35" s="45"/>
      <c r="M35" s="44"/>
      <c r="N35" s="44"/>
      <c r="O35" s="44"/>
      <c r="P35" s="57" t="str">
        <f>IF(AND(ISNUMBER(N35),ISNUMBER(O35)),IF(N35&gt;=Engagement!$C$45,IF(O35&gt;=Engagement!$C$45,"Invest","Migrate"),IF(O35&gt;=Engagement!$C$45,"Tolerate","Eliminate")),"")</f>
        <v/>
      </c>
      <c r="Q35" s="87" t="str">
        <f t="shared" ca="1" si="0"/>
        <v/>
      </c>
      <c r="R35" s="22"/>
      <c r="S35" s="44"/>
      <c r="T35" s="22"/>
      <c r="U35" s="22"/>
    </row>
    <row r="36" spans="1:21" ht="14" x14ac:dyDescent="0.15">
      <c r="A36" s="43" t="s">
        <v>2391</v>
      </c>
      <c r="B36" s="22"/>
      <c r="C36" s="22"/>
      <c r="D36" s="22"/>
      <c r="E36" s="22"/>
      <c r="F36" s="22"/>
      <c r="G36" s="22"/>
      <c r="H36" s="22"/>
      <c r="I36" s="61"/>
      <c r="J36" s="44"/>
      <c r="K36" s="75"/>
      <c r="L36" s="45"/>
      <c r="M36" s="44"/>
      <c r="N36" s="44"/>
      <c r="O36" s="44"/>
      <c r="P36" s="57" t="str">
        <f>IF(AND(ISNUMBER(N36),ISNUMBER(O36)),IF(N36&gt;=Engagement!$C$45,IF(O36&gt;=Engagement!$C$45,"Invest","Migrate"),IF(O36&gt;=Engagement!$C$45,"Tolerate","Eliminate")),"")</f>
        <v/>
      </c>
      <c r="Q36" s="87" t="str">
        <f t="shared" ca="1" si="0"/>
        <v/>
      </c>
      <c r="R36" s="22"/>
      <c r="S36" s="44"/>
      <c r="T36" s="22"/>
      <c r="U36" s="22"/>
    </row>
    <row r="37" spans="1:21" ht="14" x14ac:dyDescent="0.15">
      <c r="A37" s="43" t="s">
        <v>2392</v>
      </c>
      <c r="B37" s="22"/>
      <c r="C37" s="22"/>
      <c r="D37" s="22"/>
      <c r="E37" s="22"/>
      <c r="F37" s="22"/>
      <c r="G37" s="22"/>
      <c r="H37" s="22"/>
      <c r="I37" s="61"/>
      <c r="J37" s="44"/>
      <c r="K37" s="75"/>
      <c r="L37" s="45"/>
      <c r="M37" s="44"/>
      <c r="N37" s="44"/>
      <c r="O37" s="44"/>
      <c r="P37" s="57" t="str">
        <f>IF(AND(ISNUMBER(N37),ISNUMBER(O37)),IF(N37&gt;=Engagement!$C$45,IF(O37&gt;=Engagement!$C$45,"Invest","Migrate"),IF(O37&gt;=Engagement!$C$45,"Tolerate","Eliminate")),"")</f>
        <v/>
      </c>
      <c r="Q37" s="87" t="str">
        <f t="shared" ca="1" si="0"/>
        <v/>
      </c>
      <c r="R37" s="22"/>
      <c r="S37" s="44"/>
      <c r="T37" s="22"/>
      <c r="U37" s="22"/>
    </row>
    <row r="38" spans="1:21" ht="14" x14ac:dyDescent="0.15">
      <c r="A38" s="43" t="s">
        <v>2393</v>
      </c>
      <c r="B38" s="22"/>
      <c r="C38" s="22"/>
      <c r="D38" s="22"/>
      <c r="E38" s="22"/>
      <c r="F38" s="22"/>
      <c r="G38" s="22"/>
      <c r="H38" s="22"/>
      <c r="I38" s="61"/>
      <c r="J38" s="44"/>
      <c r="K38" s="75"/>
      <c r="L38" s="45"/>
      <c r="M38" s="44"/>
      <c r="N38" s="44"/>
      <c r="O38" s="44"/>
      <c r="P38" s="57" t="str">
        <f>IF(AND(ISNUMBER(N38),ISNUMBER(O38)),IF(N38&gt;=Engagement!$C$45,IF(O38&gt;=Engagement!$C$45,"Invest","Migrate"),IF(O38&gt;=Engagement!$C$45,"Tolerate","Eliminate")),"")</f>
        <v/>
      </c>
      <c r="Q38" s="87" t="str">
        <f t="shared" ref="Q38:Q69" ca="1" si="1">IF(ISNUMBER(L38),L38-TODAY(),"")</f>
        <v/>
      </c>
      <c r="R38" s="22"/>
      <c r="S38" s="44"/>
      <c r="T38" s="22"/>
      <c r="U38" s="22"/>
    </row>
    <row r="39" spans="1:21" ht="14" x14ac:dyDescent="0.15">
      <c r="A39" s="43" t="s">
        <v>2394</v>
      </c>
      <c r="B39" s="22"/>
      <c r="C39" s="22"/>
      <c r="D39" s="22"/>
      <c r="E39" s="22"/>
      <c r="F39" s="22"/>
      <c r="G39" s="22"/>
      <c r="H39" s="22"/>
      <c r="I39" s="61"/>
      <c r="J39" s="44"/>
      <c r="K39" s="75"/>
      <c r="L39" s="45"/>
      <c r="M39" s="44"/>
      <c r="N39" s="44"/>
      <c r="O39" s="44"/>
      <c r="P39" s="57" t="str">
        <f>IF(AND(ISNUMBER(N39),ISNUMBER(O39)),IF(N39&gt;=Engagement!$C$45,IF(O39&gt;=Engagement!$C$45,"Invest","Migrate"),IF(O39&gt;=Engagement!$C$45,"Tolerate","Eliminate")),"")</f>
        <v/>
      </c>
      <c r="Q39" s="87" t="str">
        <f t="shared" ca="1" si="1"/>
        <v/>
      </c>
      <c r="R39" s="22"/>
      <c r="S39" s="44"/>
      <c r="T39" s="22"/>
      <c r="U39" s="22"/>
    </row>
    <row r="40" spans="1:21" ht="14" x14ac:dyDescent="0.15">
      <c r="A40" s="43" t="s">
        <v>2395</v>
      </c>
      <c r="B40" s="22"/>
      <c r="C40" s="22"/>
      <c r="D40" s="22"/>
      <c r="E40" s="22"/>
      <c r="F40" s="22"/>
      <c r="G40" s="22"/>
      <c r="H40" s="22"/>
      <c r="I40" s="61"/>
      <c r="J40" s="44"/>
      <c r="K40" s="75"/>
      <c r="L40" s="45"/>
      <c r="M40" s="44"/>
      <c r="N40" s="44"/>
      <c r="O40" s="44"/>
      <c r="P40" s="57" t="str">
        <f>IF(AND(ISNUMBER(N40),ISNUMBER(O40)),IF(N40&gt;=Engagement!$C$45,IF(O40&gt;=Engagement!$C$45,"Invest","Migrate"),IF(O40&gt;=Engagement!$C$45,"Tolerate","Eliminate")),"")</f>
        <v/>
      </c>
      <c r="Q40" s="87" t="str">
        <f t="shared" ca="1" si="1"/>
        <v/>
      </c>
      <c r="R40" s="22"/>
      <c r="S40" s="44"/>
      <c r="T40" s="22"/>
      <c r="U40" s="22"/>
    </row>
    <row r="41" spans="1:21" ht="14" x14ac:dyDescent="0.15">
      <c r="A41" s="43" t="s">
        <v>2396</v>
      </c>
      <c r="B41" s="22"/>
      <c r="C41" s="22"/>
      <c r="D41" s="22"/>
      <c r="E41" s="22"/>
      <c r="F41" s="22"/>
      <c r="G41" s="22"/>
      <c r="H41" s="22"/>
      <c r="I41" s="61"/>
      <c r="J41" s="44"/>
      <c r="K41" s="75"/>
      <c r="L41" s="45"/>
      <c r="M41" s="44"/>
      <c r="N41" s="44"/>
      <c r="O41" s="44"/>
      <c r="P41" s="57" t="str">
        <f>IF(AND(ISNUMBER(N41),ISNUMBER(O41)),IF(N41&gt;=Engagement!$C$45,IF(O41&gt;=Engagement!$C$45,"Invest","Migrate"),IF(O41&gt;=Engagement!$C$45,"Tolerate","Eliminate")),"")</f>
        <v/>
      </c>
      <c r="Q41" s="87" t="str">
        <f t="shared" ca="1" si="1"/>
        <v/>
      </c>
      <c r="R41" s="22"/>
      <c r="S41" s="44"/>
      <c r="T41" s="22"/>
      <c r="U41" s="22"/>
    </row>
    <row r="42" spans="1:21" ht="14" x14ac:dyDescent="0.15">
      <c r="A42" s="43" t="s">
        <v>2397</v>
      </c>
      <c r="B42" s="22"/>
      <c r="C42" s="22"/>
      <c r="D42" s="22"/>
      <c r="E42" s="22"/>
      <c r="F42" s="22"/>
      <c r="G42" s="22"/>
      <c r="H42" s="22"/>
      <c r="I42" s="61"/>
      <c r="J42" s="44"/>
      <c r="K42" s="75"/>
      <c r="L42" s="45"/>
      <c r="M42" s="44"/>
      <c r="N42" s="44"/>
      <c r="O42" s="44"/>
      <c r="P42" s="57" t="str">
        <f>IF(AND(ISNUMBER(N42),ISNUMBER(O42)),IF(N42&gt;=Engagement!$C$45,IF(O42&gt;=Engagement!$C$45,"Invest","Migrate"),IF(O42&gt;=Engagement!$C$45,"Tolerate","Eliminate")),"")</f>
        <v/>
      </c>
      <c r="Q42" s="87" t="str">
        <f t="shared" ca="1" si="1"/>
        <v/>
      </c>
      <c r="R42" s="22"/>
      <c r="S42" s="44"/>
      <c r="T42" s="22"/>
      <c r="U42" s="22"/>
    </row>
    <row r="43" spans="1:21" ht="14" x14ac:dyDescent="0.15">
      <c r="A43" s="43" t="s">
        <v>2398</v>
      </c>
      <c r="B43" s="22"/>
      <c r="C43" s="22"/>
      <c r="D43" s="22"/>
      <c r="E43" s="22"/>
      <c r="F43" s="22"/>
      <c r="G43" s="22"/>
      <c r="H43" s="22"/>
      <c r="I43" s="61"/>
      <c r="J43" s="44"/>
      <c r="K43" s="75"/>
      <c r="L43" s="45"/>
      <c r="M43" s="44"/>
      <c r="N43" s="44"/>
      <c r="O43" s="44"/>
      <c r="P43" s="57" t="str">
        <f>IF(AND(ISNUMBER(N43),ISNUMBER(O43)),IF(N43&gt;=Engagement!$C$45,IF(O43&gt;=Engagement!$C$45,"Invest","Migrate"),IF(O43&gt;=Engagement!$C$45,"Tolerate","Eliminate")),"")</f>
        <v/>
      </c>
      <c r="Q43" s="87" t="str">
        <f t="shared" ca="1" si="1"/>
        <v/>
      </c>
      <c r="R43" s="22"/>
      <c r="S43" s="44"/>
      <c r="T43" s="22"/>
      <c r="U43" s="22"/>
    </row>
    <row r="44" spans="1:21" ht="14" x14ac:dyDescent="0.15">
      <c r="A44" s="43" t="s">
        <v>2399</v>
      </c>
      <c r="B44" s="22"/>
      <c r="C44" s="22"/>
      <c r="D44" s="22"/>
      <c r="E44" s="22"/>
      <c r="F44" s="22"/>
      <c r="G44" s="22"/>
      <c r="H44" s="22"/>
      <c r="I44" s="61"/>
      <c r="J44" s="44"/>
      <c r="K44" s="75"/>
      <c r="L44" s="45"/>
      <c r="M44" s="44"/>
      <c r="N44" s="44"/>
      <c r="O44" s="44"/>
      <c r="P44" s="57" t="str">
        <f>IF(AND(ISNUMBER(N44),ISNUMBER(O44)),IF(N44&gt;=Engagement!$C$45,IF(O44&gt;=Engagement!$C$45,"Invest","Migrate"),IF(O44&gt;=Engagement!$C$45,"Tolerate","Eliminate")),"")</f>
        <v/>
      </c>
      <c r="Q44" s="87" t="str">
        <f t="shared" ca="1" si="1"/>
        <v/>
      </c>
      <c r="R44" s="22"/>
      <c r="S44" s="44"/>
      <c r="T44" s="22"/>
      <c r="U44" s="22"/>
    </row>
    <row r="45" spans="1:21" ht="14" x14ac:dyDescent="0.15">
      <c r="A45" s="43" t="s">
        <v>2400</v>
      </c>
      <c r="B45" s="22"/>
      <c r="C45" s="22"/>
      <c r="D45" s="22"/>
      <c r="E45" s="22"/>
      <c r="F45" s="22"/>
      <c r="G45" s="22"/>
      <c r="H45" s="22"/>
      <c r="I45" s="61"/>
      <c r="J45" s="44"/>
      <c r="K45" s="75"/>
      <c r="L45" s="45"/>
      <c r="M45" s="44"/>
      <c r="N45" s="44"/>
      <c r="O45" s="44"/>
      <c r="P45" s="57" t="str">
        <f>IF(AND(ISNUMBER(N45),ISNUMBER(O45)),IF(N45&gt;=Engagement!$C$45,IF(O45&gt;=Engagement!$C$45,"Invest","Migrate"),IF(O45&gt;=Engagement!$C$45,"Tolerate","Eliminate")),"")</f>
        <v/>
      </c>
      <c r="Q45" s="87" t="str">
        <f t="shared" ca="1" si="1"/>
        <v/>
      </c>
      <c r="R45" s="22"/>
      <c r="S45" s="44"/>
      <c r="T45" s="22"/>
      <c r="U45" s="22"/>
    </row>
    <row r="46" spans="1:21" ht="14" x14ac:dyDescent="0.15">
      <c r="A46" s="43" t="s">
        <v>2401</v>
      </c>
      <c r="B46" s="22"/>
      <c r="C46" s="22"/>
      <c r="D46" s="22"/>
      <c r="E46" s="22"/>
      <c r="F46" s="22"/>
      <c r="G46" s="22"/>
      <c r="H46" s="22"/>
      <c r="I46" s="61"/>
      <c r="J46" s="44"/>
      <c r="K46" s="75"/>
      <c r="L46" s="45"/>
      <c r="M46" s="44"/>
      <c r="N46" s="44"/>
      <c r="O46" s="44"/>
      <c r="P46" s="57" t="str">
        <f>IF(AND(ISNUMBER(N46),ISNUMBER(O46)),IF(N46&gt;=Engagement!$C$45,IF(O46&gt;=Engagement!$C$45,"Invest","Migrate"),IF(O46&gt;=Engagement!$C$45,"Tolerate","Eliminate")),"")</f>
        <v/>
      </c>
      <c r="Q46" s="87" t="str">
        <f t="shared" ca="1" si="1"/>
        <v/>
      </c>
      <c r="R46" s="22"/>
      <c r="S46" s="44"/>
      <c r="T46" s="22"/>
      <c r="U46" s="22"/>
    </row>
    <row r="47" spans="1:21" ht="14" x14ac:dyDescent="0.15">
      <c r="A47" s="43" t="s">
        <v>2402</v>
      </c>
      <c r="B47" s="22"/>
      <c r="C47" s="22"/>
      <c r="D47" s="22"/>
      <c r="E47" s="22"/>
      <c r="F47" s="22"/>
      <c r="G47" s="22"/>
      <c r="H47" s="22"/>
      <c r="I47" s="61"/>
      <c r="J47" s="44"/>
      <c r="K47" s="75"/>
      <c r="L47" s="45"/>
      <c r="M47" s="44"/>
      <c r="N47" s="44"/>
      <c r="O47" s="44"/>
      <c r="P47" s="57" t="str">
        <f>IF(AND(ISNUMBER(N47),ISNUMBER(O47)),IF(N47&gt;=Engagement!$C$45,IF(O47&gt;=Engagement!$C$45,"Invest","Migrate"),IF(O47&gt;=Engagement!$C$45,"Tolerate","Eliminate")),"")</f>
        <v/>
      </c>
      <c r="Q47" s="87" t="str">
        <f t="shared" ca="1" si="1"/>
        <v/>
      </c>
      <c r="R47" s="22"/>
      <c r="S47" s="44"/>
      <c r="T47" s="22"/>
      <c r="U47" s="22"/>
    </row>
    <row r="48" spans="1:21" ht="14" x14ac:dyDescent="0.15">
      <c r="A48" s="43" t="s">
        <v>2403</v>
      </c>
      <c r="B48" s="22"/>
      <c r="C48" s="22"/>
      <c r="D48" s="22"/>
      <c r="E48" s="22"/>
      <c r="F48" s="22"/>
      <c r="G48" s="22"/>
      <c r="H48" s="22"/>
      <c r="I48" s="61"/>
      <c r="J48" s="44"/>
      <c r="K48" s="75"/>
      <c r="L48" s="45"/>
      <c r="M48" s="44"/>
      <c r="N48" s="44"/>
      <c r="O48" s="44"/>
      <c r="P48" s="57" t="str">
        <f>IF(AND(ISNUMBER(N48),ISNUMBER(O48)),IF(N48&gt;=Engagement!$C$45,IF(O48&gt;=Engagement!$C$45,"Invest","Migrate"),IF(O48&gt;=Engagement!$C$45,"Tolerate","Eliminate")),"")</f>
        <v/>
      </c>
      <c r="Q48" s="87" t="str">
        <f t="shared" ca="1" si="1"/>
        <v/>
      </c>
      <c r="R48" s="22"/>
      <c r="S48" s="44"/>
      <c r="T48" s="22"/>
      <c r="U48" s="22"/>
    </row>
    <row r="49" spans="1:21" ht="14" x14ac:dyDescent="0.15">
      <c r="A49" s="43" t="s">
        <v>2404</v>
      </c>
      <c r="B49" s="22"/>
      <c r="C49" s="22"/>
      <c r="D49" s="22"/>
      <c r="E49" s="22"/>
      <c r="F49" s="22"/>
      <c r="G49" s="22"/>
      <c r="H49" s="22"/>
      <c r="I49" s="61"/>
      <c r="J49" s="44"/>
      <c r="K49" s="75"/>
      <c r="L49" s="45"/>
      <c r="M49" s="44"/>
      <c r="N49" s="44"/>
      <c r="O49" s="44"/>
      <c r="P49" s="57" t="str">
        <f>IF(AND(ISNUMBER(N49),ISNUMBER(O49)),IF(N49&gt;=Engagement!$C$45,IF(O49&gt;=Engagement!$C$45,"Invest","Migrate"),IF(O49&gt;=Engagement!$C$45,"Tolerate","Eliminate")),"")</f>
        <v/>
      </c>
      <c r="Q49" s="87" t="str">
        <f t="shared" ca="1" si="1"/>
        <v/>
      </c>
      <c r="R49" s="22"/>
      <c r="S49" s="44"/>
      <c r="T49" s="22"/>
      <c r="U49" s="22"/>
    </row>
    <row r="50" spans="1:21" ht="14" x14ac:dyDescent="0.15">
      <c r="A50" s="43" t="s">
        <v>2405</v>
      </c>
      <c r="B50" s="22"/>
      <c r="C50" s="22"/>
      <c r="D50" s="22"/>
      <c r="E50" s="22"/>
      <c r="F50" s="22"/>
      <c r="G50" s="22"/>
      <c r="H50" s="22"/>
      <c r="I50" s="61"/>
      <c r="J50" s="44"/>
      <c r="K50" s="75"/>
      <c r="L50" s="45"/>
      <c r="M50" s="44"/>
      <c r="N50" s="44"/>
      <c r="O50" s="44"/>
      <c r="P50" s="57" t="str">
        <f>IF(AND(ISNUMBER(N50),ISNUMBER(O50)),IF(N50&gt;=Engagement!$C$45,IF(O50&gt;=Engagement!$C$45,"Invest","Migrate"),IF(O50&gt;=Engagement!$C$45,"Tolerate","Eliminate")),"")</f>
        <v/>
      </c>
      <c r="Q50" s="87" t="str">
        <f t="shared" ca="1" si="1"/>
        <v/>
      </c>
      <c r="R50" s="22"/>
      <c r="S50" s="44"/>
      <c r="T50" s="22"/>
      <c r="U50" s="22"/>
    </row>
    <row r="51" spans="1:21" ht="14" x14ac:dyDescent="0.15">
      <c r="A51" s="43" t="s">
        <v>2406</v>
      </c>
      <c r="B51" s="22"/>
      <c r="C51" s="22"/>
      <c r="D51" s="22"/>
      <c r="E51" s="22"/>
      <c r="F51" s="22"/>
      <c r="G51" s="22"/>
      <c r="H51" s="22"/>
      <c r="I51" s="61"/>
      <c r="J51" s="44"/>
      <c r="K51" s="75"/>
      <c r="L51" s="45"/>
      <c r="M51" s="44"/>
      <c r="N51" s="44"/>
      <c r="O51" s="44"/>
      <c r="P51" s="57" t="str">
        <f>IF(AND(ISNUMBER(N51),ISNUMBER(O51)),IF(N51&gt;=Engagement!$C$45,IF(O51&gt;=Engagement!$C$45,"Invest","Migrate"),IF(O51&gt;=Engagement!$C$45,"Tolerate","Eliminate")),"")</f>
        <v/>
      </c>
      <c r="Q51" s="87" t="str">
        <f t="shared" ca="1" si="1"/>
        <v/>
      </c>
      <c r="R51" s="22"/>
      <c r="S51" s="44"/>
      <c r="T51" s="22"/>
      <c r="U51" s="22"/>
    </row>
    <row r="52" spans="1:21" ht="14" x14ac:dyDescent="0.15">
      <c r="A52" s="43" t="s">
        <v>2407</v>
      </c>
      <c r="B52" s="22"/>
      <c r="C52" s="22"/>
      <c r="D52" s="22"/>
      <c r="E52" s="22"/>
      <c r="F52" s="22"/>
      <c r="G52" s="22"/>
      <c r="H52" s="22"/>
      <c r="I52" s="61"/>
      <c r="J52" s="44"/>
      <c r="K52" s="75"/>
      <c r="L52" s="45"/>
      <c r="M52" s="44"/>
      <c r="N52" s="44"/>
      <c r="O52" s="44"/>
      <c r="P52" s="57" t="str">
        <f>IF(AND(ISNUMBER(N52),ISNUMBER(O52)),IF(N52&gt;=Engagement!$C$45,IF(O52&gt;=Engagement!$C$45,"Invest","Migrate"),IF(O52&gt;=Engagement!$C$45,"Tolerate","Eliminate")),"")</f>
        <v/>
      </c>
      <c r="Q52" s="87" t="str">
        <f t="shared" ca="1" si="1"/>
        <v/>
      </c>
      <c r="R52" s="22"/>
      <c r="S52" s="44"/>
      <c r="T52" s="22"/>
      <c r="U52" s="22"/>
    </row>
    <row r="53" spans="1:21" ht="14" x14ac:dyDescent="0.15">
      <c r="A53" s="43" t="s">
        <v>2408</v>
      </c>
      <c r="B53" s="22"/>
      <c r="C53" s="22"/>
      <c r="D53" s="22"/>
      <c r="E53" s="22"/>
      <c r="F53" s="22"/>
      <c r="G53" s="22"/>
      <c r="H53" s="22"/>
      <c r="I53" s="61"/>
      <c r="J53" s="44"/>
      <c r="K53" s="75"/>
      <c r="L53" s="45"/>
      <c r="M53" s="44"/>
      <c r="N53" s="44"/>
      <c r="O53" s="44"/>
      <c r="P53" s="57" t="str">
        <f>IF(AND(ISNUMBER(N53),ISNUMBER(O53)),IF(N53&gt;=Engagement!$C$45,IF(O53&gt;=Engagement!$C$45,"Invest","Migrate"),IF(O53&gt;=Engagement!$C$45,"Tolerate","Eliminate")),"")</f>
        <v/>
      </c>
      <c r="Q53" s="87" t="str">
        <f t="shared" ca="1" si="1"/>
        <v/>
      </c>
      <c r="R53" s="22"/>
      <c r="S53" s="44"/>
      <c r="T53" s="22"/>
      <c r="U53" s="22"/>
    </row>
    <row r="54" spans="1:21" ht="14" x14ac:dyDescent="0.15">
      <c r="A54" s="43" t="s">
        <v>2409</v>
      </c>
      <c r="B54" s="22"/>
      <c r="C54" s="22"/>
      <c r="D54" s="22"/>
      <c r="E54" s="22"/>
      <c r="F54" s="22"/>
      <c r="G54" s="22"/>
      <c r="H54" s="22"/>
      <c r="I54" s="61"/>
      <c r="J54" s="44"/>
      <c r="K54" s="75"/>
      <c r="L54" s="45"/>
      <c r="M54" s="44"/>
      <c r="N54" s="44"/>
      <c r="O54" s="44"/>
      <c r="P54" s="57" t="str">
        <f>IF(AND(ISNUMBER(N54),ISNUMBER(O54)),IF(N54&gt;=Engagement!$C$45,IF(O54&gt;=Engagement!$C$45,"Invest","Migrate"),IF(O54&gt;=Engagement!$C$45,"Tolerate","Eliminate")),"")</f>
        <v/>
      </c>
      <c r="Q54" s="87" t="str">
        <f t="shared" ca="1" si="1"/>
        <v/>
      </c>
      <c r="R54" s="22"/>
      <c r="S54" s="44"/>
      <c r="T54" s="22"/>
      <c r="U54" s="22"/>
    </row>
    <row r="55" spans="1:21" ht="14" x14ac:dyDescent="0.15">
      <c r="A55" s="43" t="s">
        <v>2410</v>
      </c>
      <c r="B55" s="22"/>
      <c r="C55" s="22"/>
      <c r="D55" s="22"/>
      <c r="E55" s="22"/>
      <c r="F55" s="22"/>
      <c r="G55" s="22"/>
      <c r="H55" s="22"/>
      <c r="I55" s="61"/>
      <c r="J55" s="44"/>
      <c r="K55" s="75"/>
      <c r="L55" s="45"/>
      <c r="M55" s="44"/>
      <c r="N55" s="44"/>
      <c r="O55" s="44"/>
      <c r="P55" s="57" t="str">
        <f>IF(AND(ISNUMBER(N55),ISNUMBER(O55)),IF(N55&gt;=Engagement!$C$45,IF(O55&gt;=Engagement!$C$45,"Invest","Migrate"),IF(O55&gt;=Engagement!$C$45,"Tolerate","Eliminate")),"")</f>
        <v/>
      </c>
      <c r="Q55" s="87" t="str">
        <f t="shared" ca="1" si="1"/>
        <v/>
      </c>
      <c r="R55" s="22"/>
      <c r="S55" s="44"/>
      <c r="T55" s="22"/>
      <c r="U55" s="22"/>
    </row>
    <row r="56" spans="1:21" ht="14" x14ac:dyDescent="0.15">
      <c r="A56" s="43" t="s">
        <v>2411</v>
      </c>
      <c r="B56" s="22"/>
      <c r="C56" s="22"/>
      <c r="D56" s="22"/>
      <c r="E56" s="22"/>
      <c r="F56" s="22"/>
      <c r="G56" s="22"/>
      <c r="H56" s="22"/>
      <c r="I56" s="61"/>
      <c r="J56" s="44"/>
      <c r="K56" s="75"/>
      <c r="L56" s="45"/>
      <c r="M56" s="44"/>
      <c r="N56" s="44"/>
      <c r="O56" s="44"/>
      <c r="P56" s="57" t="str">
        <f>IF(AND(ISNUMBER(N56),ISNUMBER(O56)),IF(N56&gt;=Engagement!$C$45,IF(O56&gt;=Engagement!$C$45,"Invest","Migrate"),IF(O56&gt;=Engagement!$C$45,"Tolerate","Eliminate")),"")</f>
        <v/>
      </c>
      <c r="Q56" s="87" t="str">
        <f t="shared" ca="1" si="1"/>
        <v/>
      </c>
      <c r="R56" s="22"/>
      <c r="S56" s="44"/>
      <c r="T56" s="22"/>
      <c r="U56" s="22"/>
    </row>
    <row r="57" spans="1:21" ht="14" x14ac:dyDescent="0.15">
      <c r="A57" s="43" t="s">
        <v>2412</v>
      </c>
      <c r="B57" s="22"/>
      <c r="C57" s="22"/>
      <c r="D57" s="22"/>
      <c r="E57" s="22"/>
      <c r="F57" s="22"/>
      <c r="G57" s="22"/>
      <c r="H57" s="22"/>
      <c r="I57" s="61"/>
      <c r="J57" s="44"/>
      <c r="K57" s="75"/>
      <c r="L57" s="45"/>
      <c r="M57" s="44"/>
      <c r="N57" s="44"/>
      <c r="O57" s="44"/>
      <c r="P57" s="57" t="str">
        <f>IF(AND(ISNUMBER(N57),ISNUMBER(O57)),IF(N57&gt;=Engagement!$C$45,IF(O57&gt;=Engagement!$C$45,"Invest","Migrate"),IF(O57&gt;=Engagement!$C$45,"Tolerate","Eliminate")),"")</f>
        <v/>
      </c>
      <c r="Q57" s="87" t="str">
        <f t="shared" ca="1" si="1"/>
        <v/>
      </c>
      <c r="R57" s="22"/>
      <c r="S57" s="44"/>
      <c r="T57" s="22"/>
      <c r="U57" s="22"/>
    </row>
    <row r="58" spans="1:21" ht="14" x14ac:dyDescent="0.15">
      <c r="A58" s="43" t="s">
        <v>2413</v>
      </c>
      <c r="B58" s="22"/>
      <c r="C58" s="22"/>
      <c r="D58" s="22"/>
      <c r="E58" s="22"/>
      <c r="F58" s="22"/>
      <c r="G58" s="22"/>
      <c r="H58" s="22"/>
      <c r="I58" s="61"/>
      <c r="J58" s="44"/>
      <c r="K58" s="75"/>
      <c r="L58" s="45"/>
      <c r="M58" s="44"/>
      <c r="N58" s="44"/>
      <c r="O58" s="44"/>
      <c r="P58" s="57" t="str">
        <f>IF(AND(ISNUMBER(N58),ISNUMBER(O58)),IF(N58&gt;=Engagement!$C$45,IF(O58&gt;=Engagement!$C$45,"Invest","Migrate"),IF(O58&gt;=Engagement!$C$45,"Tolerate","Eliminate")),"")</f>
        <v/>
      </c>
      <c r="Q58" s="87" t="str">
        <f t="shared" ca="1" si="1"/>
        <v/>
      </c>
      <c r="R58" s="22"/>
      <c r="S58" s="44"/>
      <c r="T58" s="22"/>
      <c r="U58" s="22"/>
    </row>
    <row r="59" spans="1:21" ht="14" x14ac:dyDescent="0.15">
      <c r="A59" s="43" t="s">
        <v>2414</v>
      </c>
      <c r="B59" s="22"/>
      <c r="C59" s="22"/>
      <c r="D59" s="22"/>
      <c r="E59" s="22"/>
      <c r="F59" s="22"/>
      <c r="G59" s="22"/>
      <c r="H59" s="22"/>
      <c r="I59" s="61"/>
      <c r="J59" s="44"/>
      <c r="K59" s="75"/>
      <c r="L59" s="45"/>
      <c r="M59" s="44"/>
      <c r="N59" s="44"/>
      <c r="O59" s="44"/>
      <c r="P59" s="57" t="str">
        <f>IF(AND(ISNUMBER(N59),ISNUMBER(O59)),IF(N59&gt;=Engagement!$C$45,IF(O59&gt;=Engagement!$C$45,"Invest","Migrate"),IF(O59&gt;=Engagement!$C$45,"Tolerate","Eliminate")),"")</f>
        <v/>
      </c>
      <c r="Q59" s="87" t="str">
        <f t="shared" ca="1" si="1"/>
        <v/>
      </c>
      <c r="R59" s="22"/>
      <c r="S59" s="44"/>
      <c r="T59" s="22"/>
      <c r="U59" s="22"/>
    </row>
    <row r="60" spans="1:21" ht="14" x14ac:dyDescent="0.15">
      <c r="A60" s="43" t="s">
        <v>2415</v>
      </c>
      <c r="B60" s="22"/>
      <c r="C60" s="22"/>
      <c r="D60" s="22"/>
      <c r="E60" s="22"/>
      <c r="F60" s="22"/>
      <c r="G60" s="22"/>
      <c r="H60" s="22"/>
      <c r="I60" s="61"/>
      <c r="J60" s="44"/>
      <c r="K60" s="75"/>
      <c r="L60" s="45"/>
      <c r="M60" s="44"/>
      <c r="N60" s="44"/>
      <c r="O60" s="44"/>
      <c r="P60" s="57" t="str">
        <f>IF(AND(ISNUMBER(N60),ISNUMBER(O60)),IF(N60&gt;=Engagement!$C$45,IF(O60&gt;=Engagement!$C$45,"Invest","Migrate"),IF(O60&gt;=Engagement!$C$45,"Tolerate","Eliminate")),"")</f>
        <v/>
      </c>
      <c r="Q60" s="87" t="str">
        <f t="shared" ca="1" si="1"/>
        <v/>
      </c>
      <c r="R60" s="22"/>
      <c r="S60" s="44"/>
      <c r="T60" s="22"/>
      <c r="U60" s="22"/>
    </row>
    <row r="61" spans="1:21" ht="14" x14ac:dyDescent="0.15">
      <c r="A61" s="43" t="s">
        <v>2416</v>
      </c>
      <c r="B61" s="22"/>
      <c r="C61" s="22"/>
      <c r="D61" s="22"/>
      <c r="E61" s="22"/>
      <c r="F61" s="22"/>
      <c r="G61" s="22"/>
      <c r="H61" s="22"/>
      <c r="I61" s="61"/>
      <c r="J61" s="44"/>
      <c r="K61" s="75"/>
      <c r="L61" s="45"/>
      <c r="M61" s="44"/>
      <c r="N61" s="44"/>
      <c r="O61" s="44"/>
      <c r="P61" s="57" t="str">
        <f>IF(AND(ISNUMBER(N61),ISNUMBER(O61)),IF(N61&gt;=Engagement!$C$45,IF(O61&gt;=Engagement!$C$45,"Invest","Migrate"),IF(O61&gt;=Engagement!$C$45,"Tolerate","Eliminate")),"")</f>
        <v/>
      </c>
      <c r="Q61" s="87" t="str">
        <f t="shared" ca="1" si="1"/>
        <v/>
      </c>
      <c r="R61" s="22"/>
      <c r="S61" s="44"/>
      <c r="T61" s="22"/>
      <c r="U61" s="22"/>
    </row>
    <row r="62" spans="1:21" ht="14" x14ac:dyDescent="0.15">
      <c r="A62" s="43" t="s">
        <v>2417</v>
      </c>
      <c r="B62" s="22"/>
      <c r="C62" s="22"/>
      <c r="D62" s="22"/>
      <c r="E62" s="22"/>
      <c r="F62" s="22"/>
      <c r="G62" s="22"/>
      <c r="H62" s="22"/>
      <c r="I62" s="61"/>
      <c r="J62" s="44"/>
      <c r="K62" s="75"/>
      <c r="L62" s="45"/>
      <c r="M62" s="44"/>
      <c r="N62" s="44"/>
      <c r="O62" s="44"/>
      <c r="P62" s="57" t="str">
        <f>IF(AND(ISNUMBER(N62),ISNUMBER(O62)),IF(N62&gt;=Engagement!$C$45,IF(O62&gt;=Engagement!$C$45,"Invest","Migrate"),IF(O62&gt;=Engagement!$C$45,"Tolerate","Eliminate")),"")</f>
        <v/>
      </c>
      <c r="Q62" s="87" t="str">
        <f t="shared" ca="1" si="1"/>
        <v/>
      </c>
      <c r="R62" s="22"/>
      <c r="S62" s="44"/>
      <c r="T62" s="22"/>
      <c r="U62" s="22"/>
    </row>
    <row r="63" spans="1:21" ht="14" x14ac:dyDescent="0.15">
      <c r="A63" s="43" t="s">
        <v>2418</v>
      </c>
      <c r="B63" s="22"/>
      <c r="C63" s="22"/>
      <c r="D63" s="22"/>
      <c r="E63" s="22"/>
      <c r="F63" s="22"/>
      <c r="G63" s="22"/>
      <c r="H63" s="22"/>
      <c r="I63" s="61"/>
      <c r="J63" s="44"/>
      <c r="K63" s="75"/>
      <c r="L63" s="45"/>
      <c r="M63" s="44"/>
      <c r="N63" s="44"/>
      <c r="O63" s="44"/>
      <c r="P63" s="57" t="str">
        <f>IF(AND(ISNUMBER(N63),ISNUMBER(O63)),IF(N63&gt;=Engagement!$C$45,IF(O63&gt;=Engagement!$C$45,"Invest","Migrate"),IF(O63&gt;=Engagement!$C$45,"Tolerate","Eliminate")),"")</f>
        <v/>
      </c>
      <c r="Q63" s="87" t="str">
        <f t="shared" ca="1" si="1"/>
        <v/>
      </c>
      <c r="R63" s="22"/>
      <c r="S63" s="44"/>
      <c r="T63" s="22"/>
      <c r="U63" s="22"/>
    </row>
    <row r="64" spans="1:21" ht="14" x14ac:dyDescent="0.15">
      <c r="A64" s="43" t="s">
        <v>2419</v>
      </c>
      <c r="B64" s="22"/>
      <c r="C64" s="22"/>
      <c r="D64" s="22"/>
      <c r="E64" s="22"/>
      <c r="F64" s="22"/>
      <c r="G64" s="22"/>
      <c r="H64" s="22"/>
      <c r="I64" s="61"/>
      <c r="J64" s="44"/>
      <c r="K64" s="75"/>
      <c r="L64" s="45"/>
      <c r="M64" s="44"/>
      <c r="N64" s="44"/>
      <c r="O64" s="44"/>
      <c r="P64" s="57" t="str">
        <f>IF(AND(ISNUMBER(N64),ISNUMBER(O64)),IF(N64&gt;=Engagement!$C$45,IF(O64&gt;=Engagement!$C$45,"Invest","Migrate"),IF(O64&gt;=Engagement!$C$45,"Tolerate","Eliminate")),"")</f>
        <v/>
      </c>
      <c r="Q64" s="87" t="str">
        <f t="shared" ca="1" si="1"/>
        <v/>
      </c>
      <c r="R64" s="22"/>
      <c r="S64" s="44"/>
      <c r="T64" s="22"/>
      <c r="U64" s="22"/>
    </row>
    <row r="65" spans="1:21" ht="14" x14ac:dyDescent="0.15">
      <c r="A65" s="43" t="s">
        <v>2420</v>
      </c>
      <c r="B65" s="22"/>
      <c r="C65" s="22"/>
      <c r="D65" s="22"/>
      <c r="E65" s="22"/>
      <c r="F65" s="22"/>
      <c r="G65" s="22"/>
      <c r="H65" s="22"/>
      <c r="I65" s="61"/>
      <c r="J65" s="44"/>
      <c r="K65" s="75"/>
      <c r="L65" s="45"/>
      <c r="M65" s="44"/>
      <c r="N65" s="44"/>
      <c r="O65" s="44"/>
      <c r="P65" s="57" t="str">
        <f>IF(AND(ISNUMBER(N65),ISNUMBER(O65)),IF(N65&gt;=Engagement!$C$45,IF(O65&gt;=Engagement!$C$45,"Invest","Migrate"),IF(O65&gt;=Engagement!$C$45,"Tolerate","Eliminate")),"")</f>
        <v/>
      </c>
      <c r="Q65" s="87" t="str">
        <f t="shared" ca="1" si="1"/>
        <v/>
      </c>
      <c r="R65" s="22"/>
      <c r="S65" s="44"/>
      <c r="T65" s="22"/>
      <c r="U65" s="22"/>
    </row>
    <row r="66" spans="1:21" ht="14" x14ac:dyDescent="0.15">
      <c r="A66" s="43" t="s">
        <v>2421</v>
      </c>
      <c r="B66" s="22"/>
      <c r="C66" s="22"/>
      <c r="D66" s="22"/>
      <c r="E66" s="22"/>
      <c r="F66" s="22"/>
      <c r="G66" s="22"/>
      <c r="H66" s="22"/>
      <c r="I66" s="61"/>
      <c r="J66" s="44"/>
      <c r="K66" s="75"/>
      <c r="L66" s="45"/>
      <c r="M66" s="44"/>
      <c r="N66" s="44"/>
      <c r="O66" s="44"/>
      <c r="P66" s="57" t="str">
        <f>IF(AND(ISNUMBER(N66),ISNUMBER(O66)),IF(N66&gt;=Engagement!$C$45,IF(O66&gt;=Engagement!$C$45,"Invest","Migrate"),IF(O66&gt;=Engagement!$C$45,"Tolerate","Eliminate")),"")</f>
        <v/>
      </c>
      <c r="Q66" s="87" t="str">
        <f t="shared" ca="1" si="1"/>
        <v/>
      </c>
      <c r="R66" s="22"/>
      <c r="S66" s="44"/>
      <c r="T66" s="22"/>
      <c r="U66" s="22"/>
    </row>
    <row r="67" spans="1:21" ht="14" x14ac:dyDescent="0.15">
      <c r="A67" s="43" t="s">
        <v>2422</v>
      </c>
      <c r="B67" s="22"/>
      <c r="C67" s="22"/>
      <c r="D67" s="22"/>
      <c r="E67" s="22"/>
      <c r="F67" s="22"/>
      <c r="G67" s="22"/>
      <c r="H67" s="22"/>
      <c r="I67" s="61"/>
      <c r="J67" s="44"/>
      <c r="K67" s="75"/>
      <c r="L67" s="45"/>
      <c r="M67" s="44"/>
      <c r="N67" s="44"/>
      <c r="O67" s="44"/>
      <c r="P67" s="57" t="str">
        <f>IF(AND(ISNUMBER(N67),ISNUMBER(O67)),IF(N67&gt;=Engagement!$C$45,IF(O67&gt;=Engagement!$C$45,"Invest","Migrate"),IF(O67&gt;=Engagement!$C$45,"Tolerate","Eliminate")),"")</f>
        <v/>
      </c>
      <c r="Q67" s="87" t="str">
        <f t="shared" ca="1" si="1"/>
        <v/>
      </c>
      <c r="R67" s="22"/>
      <c r="S67" s="44"/>
      <c r="T67" s="22"/>
      <c r="U67" s="22"/>
    </row>
    <row r="68" spans="1:21" ht="14" x14ac:dyDescent="0.15">
      <c r="A68" s="43" t="s">
        <v>2423</v>
      </c>
      <c r="B68" s="22"/>
      <c r="C68" s="22"/>
      <c r="D68" s="22"/>
      <c r="E68" s="22"/>
      <c r="F68" s="22"/>
      <c r="G68" s="22"/>
      <c r="H68" s="22"/>
      <c r="I68" s="61"/>
      <c r="J68" s="44"/>
      <c r="K68" s="75"/>
      <c r="L68" s="45"/>
      <c r="M68" s="44"/>
      <c r="N68" s="44"/>
      <c r="O68" s="44"/>
      <c r="P68" s="57" t="str">
        <f>IF(AND(ISNUMBER(N68),ISNUMBER(O68)),IF(N68&gt;=Engagement!$C$45,IF(O68&gt;=Engagement!$C$45,"Invest","Migrate"),IF(O68&gt;=Engagement!$C$45,"Tolerate","Eliminate")),"")</f>
        <v/>
      </c>
      <c r="Q68" s="87" t="str">
        <f t="shared" ca="1" si="1"/>
        <v/>
      </c>
      <c r="R68" s="22"/>
      <c r="S68" s="44"/>
      <c r="T68" s="22"/>
      <c r="U68" s="22"/>
    </row>
    <row r="69" spans="1:21" ht="14" x14ac:dyDescent="0.15">
      <c r="A69" s="43" t="s">
        <v>2424</v>
      </c>
      <c r="B69" s="22"/>
      <c r="C69" s="22"/>
      <c r="D69" s="22"/>
      <c r="E69" s="22"/>
      <c r="F69" s="22"/>
      <c r="G69" s="22"/>
      <c r="H69" s="22"/>
      <c r="I69" s="61"/>
      <c r="J69" s="44"/>
      <c r="K69" s="75"/>
      <c r="L69" s="45"/>
      <c r="M69" s="44"/>
      <c r="N69" s="44"/>
      <c r="O69" s="44"/>
      <c r="P69" s="57" t="str">
        <f>IF(AND(ISNUMBER(N69),ISNUMBER(O69)),IF(N69&gt;=Engagement!$C$45,IF(O69&gt;=Engagement!$C$45,"Invest","Migrate"),IF(O69&gt;=Engagement!$C$45,"Tolerate","Eliminate")),"")</f>
        <v/>
      </c>
      <c r="Q69" s="87" t="str">
        <f t="shared" ca="1" si="1"/>
        <v/>
      </c>
      <c r="R69" s="22"/>
      <c r="S69" s="44"/>
      <c r="T69" s="22"/>
      <c r="U69" s="22"/>
    </row>
    <row r="70" spans="1:21" ht="14" x14ac:dyDescent="0.15">
      <c r="A70" s="43" t="s">
        <v>2425</v>
      </c>
      <c r="B70" s="22"/>
      <c r="C70" s="22"/>
      <c r="D70" s="22"/>
      <c r="E70" s="22"/>
      <c r="F70" s="22"/>
      <c r="G70" s="22"/>
      <c r="H70" s="22"/>
      <c r="I70" s="61"/>
      <c r="J70" s="44"/>
      <c r="K70" s="75"/>
      <c r="L70" s="45"/>
      <c r="M70" s="44"/>
      <c r="N70" s="44"/>
      <c r="O70" s="44"/>
      <c r="P70" s="57" t="str">
        <f>IF(AND(ISNUMBER(N70),ISNUMBER(O70)),IF(N70&gt;=Engagement!$C$45,IF(O70&gt;=Engagement!$C$45,"Invest","Migrate"),IF(O70&gt;=Engagement!$C$45,"Tolerate","Eliminate")),"")</f>
        <v/>
      </c>
      <c r="Q70" s="87" t="str">
        <f t="shared" ref="Q70:Q101" ca="1" si="2">IF(ISNUMBER(L70),L70-TODAY(),"")</f>
        <v/>
      </c>
      <c r="R70" s="22"/>
      <c r="S70" s="44"/>
      <c r="T70" s="22"/>
      <c r="U70" s="22"/>
    </row>
    <row r="71" spans="1:21" ht="14" x14ac:dyDescent="0.15">
      <c r="A71" s="43" t="s">
        <v>2426</v>
      </c>
      <c r="B71" s="22"/>
      <c r="C71" s="22"/>
      <c r="D71" s="22"/>
      <c r="E71" s="22"/>
      <c r="F71" s="22"/>
      <c r="G71" s="22"/>
      <c r="H71" s="22"/>
      <c r="I71" s="61"/>
      <c r="J71" s="44"/>
      <c r="K71" s="75"/>
      <c r="L71" s="45"/>
      <c r="M71" s="44"/>
      <c r="N71" s="44"/>
      <c r="O71" s="44"/>
      <c r="P71" s="57" t="str">
        <f>IF(AND(ISNUMBER(N71),ISNUMBER(O71)),IF(N71&gt;=Engagement!$C$45,IF(O71&gt;=Engagement!$C$45,"Invest","Migrate"),IF(O71&gt;=Engagement!$C$45,"Tolerate","Eliminate")),"")</f>
        <v/>
      </c>
      <c r="Q71" s="87" t="str">
        <f t="shared" ca="1" si="2"/>
        <v/>
      </c>
      <c r="R71" s="22"/>
      <c r="S71" s="44"/>
      <c r="T71" s="22"/>
      <c r="U71" s="22"/>
    </row>
    <row r="72" spans="1:21" ht="14" x14ac:dyDescent="0.15">
      <c r="A72" s="43" t="s">
        <v>2427</v>
      </c>
      <c r="B72" s="22"/>
      <c r="C72" s="22"/>
      <c r="D72" s="22"/>
      <c r="E72" s="22"/>
      <c r="F72" s="22"/>
      <c r="G72" s="22"/>
      <c r="H72" s="22"/>
      <c r="I72" s="61"/>
      <c r="J72" s="44"/>
      <c r="K72" s="75"/>
      <c r="L72" s="45"/>
      <c r="M72" s="44"/>
      <c r="N72" s="44"/>
      <c r="O72" s="44"/>
      <c r="P72" s="57" t="str">
        <f>IF(AND(ISNUMBER(N72),ISNUMBER(O72)),IF(N72&gt;=Engagement!$C$45,IF(O72&gt;=Engagement!$C$45,"Invest","Migrate"),IF(O72&gt;=Engagement!$C$45,"Tolerate","Eliminate")),"")</f>
        <v/>
      </c>
      <c r="Q72" s="87" t="str">
        <f t="shared" ca="1" si="2"/>
        <v/>
      </c>
      <c r="R72" s="22"/>
      <c r="S72" s="44"/>
      <c r="T72" s="22"/>
      <c r="U72" s="22"/>
    </row>
    <row r="73" spans="1:21" ht="14" x14ac:dyDescent="0.15">
      <c r="A73" s="43" t="s">
        <v>2428</v>
      </c>
      <c r="B73" s="22"/>
      <c r="C73" s="22"/>
      <c r="D73" s="22"/>
      <c r="E73" s="22"/>
      <c r="F73" s="22"/>
      <c r="G73" s="22"/>
      <c r="H73" s="22"/>
      <c r="I73" s="61"/>
      <c r="J73" s="44"/>
      <c r="K73" s="75"/>
      <c r="L73" s="45"/>
      <c r="M73" s="44"/>
      <c r="N73" s="44"/>
      <c r="O73" s="44"/>
      <c r="P73" s="57" t="str">
        <f>IF(AND(ISNUMBER(N73),ISNUMBER(O73)),IF(N73&gt;=Engagement!$C$45,IF(O73&gt;=Engagement!$C$45,"Invest","Migrate"),IF(O73&gt;=Engagement!$C$45,"Tolerate","Eliminate")),"")</f>
        <v/>
      </c>
      <c r="Q73" s="87" t="str">
        <f t="shared" ca="1" si="2"/>
        <v/>
      </c>
      <c r="R73" s="22"/>
      <c r="S73" s="44"/>
      <c r="T73" s="22"/>
      <c r="U73" s="22"/>
    </row>
    <row r="74" spans="1:21" ht="14" x14ac:dyDescent="0.15">
      <c r="A74" s="43" t="s">
        <v>2429</v>
      </c>
      <c r="B74" s="22"/>
      <c r="C74" s="22"/>
      <c r="D74" s="22"/>
      <c r="E74" s="22"/>
      <c r="F74" s="22"/>
      <c r="G74" s="22"/>
      <c r="H74" s="22"/>
      <c r="I74" s="61"/>
      <c r="J74" s="44"/>
      <c r="K74" s="75"/>
      <c r="L74" s="45"/>
      <c r="M74" s="44"/>
      <c r="N74" s="44"/>
      <c r="O74" s="44"/>
      <c r="P74" s="57" t="str">
        <f>IF(AND(ISNUMBER(N74),ISNUMBER(O74)),IF(N74&gt;=Engagement!$C$45,IF(O74&gt;=Engagement!$C$45,"Invest","Migrate"),IF(O74&gt;=Engagement!$C$45,"Tolerate","Eliminate")),"")</f>
        <v/>
      </c>
      <c r="Q74" s="87" t="str">
        <f t="shared" ca="1" si="2"/>
        <v/>
      </c>
      <c r="R74" s="22"/>
      <c r="S74" s="44"/>
      <c r="T74" s="22"/>
      <c r="U74" s="22"/>
    </row>
    <row r="75" spans="1:21" ht="14" x14ac:dyDescent="0.15">
      <c r="A75" s="43" t="s">
        <v>2430</v>
      </c>
      <c r="B75" s="22"/>
      <c r="C75" s="22"/>
      <c r="D75" s="22"/>
      <c r="E75" s="22"/>
      <c r="F75" s="22"/>
      <c r="G75" s="22"/>
      <c r="H75" s="22"/>
      <c r="I75" s="61"/>
      <c r="J75" s="44"/>
      <c r="K75" s="75"/>
      <c r="L75" s="45"/>
      <c r="M75" s="44"/>
      <c r="N75" s="44"/>
      <c r="O75" s="44"/>
      <c r="P75" s="57" t="str">
        <f>IF(AND(ISNUMBER(N75),ISNUMBER(O75)),IF(N75&gt;=Engagement!$C$45,IF(O75&gt;=Engagement!$C$45,"Invest","Migrate"),IF(O75&gt;=Engagement!$C$45,"Tolerate","Eliminate")),"")</f>
        <v/>
      </c>
      <c r="Q75" s="87" t="str">
        <f t="shared" ca="1" si="2"/>
        <v/>
      </c>
      <c r="R75" s="22"/>
      <c r="S75" s="44"/>
      <c r="T75" s="22"/>
      <c r="U75" s="22"/>
    </row>
    <row r="76" spans="1:21" ht="14" x14ac:dyDescent="0.15">
      <c r="A76" s="43" t="s">
        <v>2431</v>
      </c>
      <c r="B76" s="22"/>
      <c r="C76" s="22"/>
      <c r="D76" s="22"/>
      <c r="E76" s="22"/>
      <c r="F76" s="22"/>
      <c r="G76" s="22"/>
      <c r="H76" s="22"/>
      <c r="I76" s="61"/>
      <c r="J76" s="44"/>
      <c r="K76" s="75"/>
      <c r="L76" s="45"/>
      <c r="M76" s="44"/>
      <c r="N76" s="44"/>
      <c r="O76" s="44"/>
      <c r="P76" s="57" t="str">
        <f>IF(AND(ISNUMBER(N76),ISNUMBER(O76)),IF(N76&gt;=Engagement!$C$45,IF(O76&gt;=Engagement!$C$45,"Invest","Migrate"),IF(O76&gt;=Engagement!$C$45,"Tolerate","Eliminate")),"")</f>
        <v/>
      </c>
      <c r="Q76" s="87" t="str">
        <f t="shared" ca="1" si="2"/>
        <v/>
      </c>
      <c r="R76" s="22"/>
      <c r="S76" s="44"/>
      <c r="T76" s="22"/>
      <c r="U76" s="22"/>
    </row>
    <row r="77" spans="1:21" ht="14" x14ac:dyDescent="0.15">
      <c r="A77" s="43" t="s">
        <v>2432</v>
      </c>
      <c r="B77" s="22"/>
      <c r="C77" s="22"/>
      <c r="D77" s="22"/>
      <c r="E77" s="22"/>
      <c r="F77" s="22"/>
      <c r="G77" s="22"/>
      <c r="H77" s="22"/>
      <c r="I77" s="61"/>
      <c r="J77" s="44"/>
      <c r="K77" s="75"/>
      <c r="L77" s="45"/>
      <c r="M77" s="44"/>
      <c r="N77" s="44"/>
      <c r="O77" s="44"/>
      <c r="P77" s="57" t="str">
        <f>IF(AND(ISNUMBER(N77),ISNUMBER(O77)),IF(N77&gt;=Engagement!$C$45,IF(O77&gt;=Engagement!$C$45,"Invest","Migrate"),IF(O77&gt;=Engagement!$C$45,"Tolerate","Eliminate")),"")</f>
        <v/>
      </c>
      <c r="Q77" s="87" t="str">
        <f t="shared" ca="1" si="2"/>
        <v/>
      </c>
      <c r="R77" s="22"/>
      <c r="S77" s="44"/>
      <c r="T77" s="22"/>
      <c r="U77" s="22"/>
    </row>
    <row r="78" spans="1:21" ht="14" x14ac:dyDescent="0.15">
      <c r="A78" s="43" t="s">
        <v>2433</v>
      </c>
      <c r="B78" s="22"/>
      <c r="C78" s="22"/>
      <c r="D78" s="22"/>
      <c r="E78" s="22"/>
      <c r="F78" s="22"/>
      <c r="G78" s="22"/>
      <c r="H78" s="22"/>
      <c r="I78" s="61"/>
      <c r="J78" s="44"/>
      <c r="K78" s="75"/>
      <c r="L78" s="45"/>
      <c r="M78" s="44"/>
      <c r="N78" s="44"/>
      <c r="O78" s="44"/>
      <c r="P78" s="57" t="str">
        <f>IF(AND(ISNUMBER(N78),ISNUMBER(O78)),IF(N78&gt;=Engagement!$C$45,IF(O78&gt;=Engagement!$C$45,"Invest","Migrate"),IF(O78&gt;=Engagement!$C$45,"Tolerate","Eliminate")),"")</f>
        <v/>
      </c>
      <c r="Q78" s="87" t="str">
        <f t="shared" ca="1" si="2"/>
        <v/>
      </c>
      <c r="R78" s="22"/>
      <c r="S78" s="44"/>
      <c r="T78" s="22"/>
      <c r="U78" s="22"/>
    </row>
    <row r="79" spans="1:21" ht="14" x14ac:dyDescent="0.15">
      <c r="A79" s="43" t="s">
        <v>2434</v>
      </c>
      <c r="B79" s="22"/>
      <c r="C79" s="22"/>
      <c r="D79" s="22"/>
      <c r="E79" s="22"/>
      <c r="F79" s="22"/>
      <c r="G79" s="22"/>
      <c r="H79" s="22"/>
      <c r="I79" s="61"/>
      <c r="J79" s="44"/>
      <c r="K79" s="75"/>
      <c r="L79" s="45"/>
      <c r="M79" s="44"/>
      <c r="N79" s="44"/>
      <c r="O79" s="44"/>
      <c r="P79" s="57" t="str">
        <f>IF(AND(ISNUMBER(N79),ISNUMBER(O79)),IF(N79&gt;=Engagement!$C$45,IF(O79&gt;=Engagement!$C$45,"Invest","Migrate"),IF(O79&gt;=Engagement!$C$45,"Tolerate","Eliminate")),"")</f>
        <v/>
      </c>
      <c r="Q79" s="87" t="str">
        <f t="shared" ca="1" si="2"/>
        <v/>
      </c>
      <c r="R79" s="22"/>
      <c r="S79" s="44"/>
      <c r="T79" s="22"/>
      <c r="U79" s="22"/>
    </row>
    <row r="80" spans="1:21" ht="14" x14ac:dyDescent="0.15">
      <c r="A80" s="43" t="s">
        <v>2435</v>
      </c>
      <c r="B80" s="22"/>
      <c r="C80" s="22"/>
      <c r="D80" s="22"/>
      <c r="E80" s="22"/>
      <c r="F80" s="22"/>
      <c r="G80" s="22"/>
      <c r="H80" s="22"/>
      <c r="I80" s="61"/>
      <c r="J80" s="44"/>
      <c r="K80" s="75"/>
      <c r="L80" s="45"/>
      <c r="M80" s="44"/>
      <c r="N80" s="44"/>
      <c r="O80" s="44"/>
      <c r="P80" s="57" t="str">
        <f>IF(AND(ISNUMBER(N80),ISNUMBER(O80)),IF(N80&gt;=Engagement!$C$45,IF(O80&gt;=Engagement!$C$45,"Invest","Migrate"),IF(O80&gt;=Engagement!$C$45,"Tolerate","Eliminate")),"")</f>
        <v/>
      </c>
      <c r="Q80" s="87" t="str">
        <f t="shared" ca="1" si="2"/>
        <v/>
      </c>
      <c r="R80" s="22"/>
      <c r="S80" s="44"/>
      <c r="T80" s="22"/>
      <c r="U80" s="22"/>
    </row>
    <row r="81" spans="1:21" ht="14" x14ac:dyDescent="0.15">
      <c r="A81" s="43" t="s">
        <v>2436</v>
      </c>
      <c r="B81" s="22"/>
      <c r="C81" s="22"/>
      <c r="D81" s="22"/>
      <c r="E81" s="22"/>
      <c r="F81" s="22"/>
      <c r="G81" s="22"/>
      <c r="H81" s="22"/>
      <c r="I81" s="61"/>
      <c r="J81" s="44"/>
      <c r="K81" s="75"/>
      <c r="L81" s="45"/>
      <c r="M81" s="44"/>
      <c r="N81" s="44"/>
      <c r="O81" s="44"/>
      <c r="P81" s="57" t="str">
        <f>IF(AND(ISNUMBER(N81),ISNUMBER(O81)),IF(N81&gt;=Engagement!$C$45,IF(O81&gt;=Engagement!$C$45,"Invest","Migrate"),IF(O81&gt;=Engagement!$C$45,"Tolerate","Eliminate")),"")</f>
        <v/>
      </c>
      <c r="Q81" s="87" t="str">
        <f t="shared" ca="1" si="2"/>
        <v/>
      </c>
      <c r="R81" s="22"/>
      <c r="S81" s="44"/>
      <c r="T81" s="22"/>
      <c r="U81" s="22"/>
    </row>
    <row r="82" spans="1:21" ht="14" x14ac:dyDescent="0.15">
      <c r="A82" s="43" t="s">
        <v>2437</v>
      </c>
      <c r="B82" s="22"/>
      <c r="C82" s="22"/>
      <c r="D82" s="22"/>
      <c r="E82" s="22"/>
      <c r="F82" s="22"/>
      <c r="G82" s="22"/>
      <c r="H82" s="22"/>
      <c r="I82" s="61"/>
      <c r="J82" s="44"/>
      <c r="K82" s="75"/>
      <c r="L82" s="45"/>
      <c r="M82" s="44"/>
      <c r="N82" s="44"/>
      <c r="O82" s="44"/>
      <c r="P82" s="57" t="str">
        <f>IF(AND(ISNUMBER(N82),ISNUMBER(O82)),IF(N82&gt;=Engagement!$C$45,IF(O82&gt;=Engagement!$C$45,"Invest","Migrate"),IF(O82&gt;=Engagement!$C$45,"Tolerate","Eliminate")),"")</f>
        <v/>
      </c>
      <c r="Q82" s="87" t="str">
        <f t="shared" ca="1" si="2"/>
        <v/>
      </c>
      <c r="R82" s="22"/>
      <c r="S82" s="44"/>
      <c r="T82" s="22"/>
      <c r="U82" s="22"/>
    </row>
    <row r="83" spans="1:21" ht="14" x14ac:dyDescent="0.15">
      <c r="A83" s="43" t="s">
        <v>2438</v>
      </c>
      <c r="B83" s="22"/>
      <c r="C83" s="22"/>
      <c r="D83" s="22"/>
      <c r="E83" s="22"/>
      <c r="F83" s="22"/>
      <c r="G83" s="22"/>
      <c r="H83" s="22"/>
      <c r="I83" s="61"/>
      <c r="J83" s="44"/>
      <c r="K83" s="75"/>
      <c r="L83" s="45"/>
      <c r="M83" s="44"/>
      <c r="N83" s="44"/>
      <c r="O83" s="44"/>
      <c r="P83" s="57" t="str">
        <f>IF(AND(ISNUMBER(N83),ISNUMBER(O83)),IF(N83&gt;=Engagement!$C$45,IF(O83&gt;=Engagement!$C$45,"Invest","Migrate"),IF(O83&gt;=Engagement!$C$45,"Tolerate","Eliminate")),"")</f>
        <v/>
      </c>
      <c r="Q83" s="87" t="str">
        <f t="shared" ca="1" si="2"/>
        <v/>
      </c>
      <c r="R83" s="22"/>
      <c r="S83" s="44"/>
      <c r="T83" s="22"/>
      <c r="U83" s="22"/>
    </row>
    <row r="84" spans="1:21" ht="14" x14ac:dyDescent="0.15">
      <c r="A84" s="43" t="s">
        <v>2439</v>
      </c>
      <c r="B84" s="22"/>
      <c r="C84" s="22"/>
      <c r="D84" s="22"/>
      <c r="E84" s="22"/>
      <c r="F84" s="22"/>
      <c r="G84" s="22"/>
      <c r="H84" s="22"/>
      <c r="I84" s="61"/>
      <c r="J84" s="44"/>
      <c r="K84" s="75"/>
      <c r="L84" s="45"/>
      <c r="M84" s="44"/>
      <c r="N84" s="44"/>
      <c r="O84" s="44"/>
      <c r="P84" s="57" t="str">
        <f>IF(AND(ISNUMBER(N84),ISNUMBER(O84)),IF(N84&gt;=Engagement!$C$45,IF(O84&gt;=Engagement!$C$45,"Invest","Migrate"),IF(O84&gt;=Engagement!$C$45,"Tolerate","Eliminate")),"")</f>
        <v/>
      </c>
      <c r="Q84" s="87" t="str">
        <f t="shared" ca="1" si="2"/>
        <v/>
      </c>
      <c r="R84" s="22"/>
      <c r="S84" s="44"/>
      <c r="T84" s="22"/>
      <c r="U84" s="22"/>
    </row>
    <row r="85" spans="1:21" ht="14" x14ac:dyDescent="0.15">
      <c r="A85" s="43" t="s">
        <v>2440</v>
      </c>
      <c r="B85" s="22"/>
      <c r="C85" s="22"/>
      <c r="D85" s="22"/>
      <c r="E85" s="22"/>
      <c r="F85" s="22"/>
      <c r="G85" s="22"/>
      <c r="H85" s="22"/>
      <c r="I85" s="61"/>
      <c r="J85" s="44"/>
      <c r="K85" s="75"/>
      <c r="L85" s="45"/>
      <c r="M85" s="44"/>
      <c r="N85" s="44"/>
      <c r="O85" s="44"/>
      <c r="P85" s="57" t="str">
        <f>IF(AND(ISNUMBER(N85),ISNUMBER(O85)),IF(N85&gt;=Engagement!$C$45,IF(O85&gt;=Engagement!$C$45,"Invest","Migrate"),IF(O85&gt;=Engagement!$C$45,"Tolerate","Eliminate")),"")</f>
        <v/>
      </c>
      <c r="Q85" s="87" t="str">
        <f t="shared" ca="1" si="2"/>
        <v/>
      </c>
      <c r="R85" s="22"/>
      <c r="S85" s="44"/>
      <c r="T85" s="22"/>
      <c r="U85" s="22"/>
    </row>
    <row r="86" spans="1:21" ht="14" x14ac:dyDescent="0.15">
      <c r="A86" s="43" t="s">
        <v>2441</v>
      </c>
      <c r="B86" s="22"/>
      <c r="C86" s="22"/>
      <c r="D86" s="22"/>
      <c r="E86" s="22"/>
      <c r="F86" s="22"/>
      <c r="G86" s="22"/>
      <c r="H86" s="22"/>
      <c r="I86" s="61"/>
      <c r="J86" s="44"/>
      <c r="K86" s="75"/>
      <c r="L86" s="45"/>
      <c r="M86" s="44"/>
      <c r="N86" s="44"/>
      <c r="O86" s="44"/>
      <c r="P86" s="57" t="str">
        <f>IF(AND(ISNUMBER(N86),ISNUMBER(O86)),IF(N86&gt;=Engagement!$C$45,IF(O86&gt;=Engagement!$C$45,"Invest","Migrate"),IF(O86&gt;=Engagement!$C$45,"Tolerate","Eliminate")),"")</f>
        <v/>
      </c>
      <c r="Q86" s="87" t="str">
        <f t="shared" ca="1" si="2"/>
        <v/>
      </c>
      <c r="R86" s="22"/>
      <c r="S86" s="44"/>
      <c r="T86" s="22"/>
      <c r="U86" s="22"/>
    </row>
    <row r="87" spans="1:21" ht="14" x14ac:dyDescent="0.15">
      <c r="A87" s="43" t="s">
        <v>2442</v>
      </c>
      <c r="B87" s="22"/>
      <c r="C87" s="22"/>
      <c r="D87" s="22"/>
      <c r="E87" s="22"/>
      <c r="F87" s="22"/>
      <c r="G87" s="22"/>
      <c r="H87" s="22"/>
      <c r="I87" s="61"/>
      <c r="J87" s="44"/>
      <c r="K87" s="75"/>
      <c r="L87" s="45"/>
      <c r="M87" s="44"/>
      <c r="N87" s="44"/>
      <c r="O87" s="44"/>
      <c r="P87" s="57" t="str">
        <f>IF(AND(ISNUMBER(N87),ISNUMBER(O87)),IF(N87&gt;=Engagement!$C$45,IF(O87&gt;=Engagement!$C$45,"Invest","Migrate"),IF(O87&gt;=Engagement!$C$45,"Tolerate","Eliminate")),"")</f>
        <v/>
      </c>
      <c r="Q87" s="87" t="str">
        <f t="shared" ca="1" si="2"/>
        <v/>
      </c>
      <c r="R87" s="22"/>
      <c r="S87" s="44"/>
      <c r="T87" s="22"/>
      <c r="U87" s="22"/>
    </row>
    <row r="88" spans="1:21" ht="14" x14ac:dyDescent="0.15">
      <c r="A88" s="43" t="s">
        <v>2443</v>
      </c>
      <c r="B88" s="22"/>
      <c r="C88" s="22"/>
      <c r="D88" s="22"/>
      <c r="E88" s="22"/>
      <c r="F88" s="22"/>
      <c r="G88" s="22"/>
      <c r="H88" s="22"/>
      <c r="I88" s="61"/>
      <c r="J88" s="44"/>
      <c r="K88" s="75"/>
      <c r="L88" s="45"/>
      <c r="M88" s="44"/>
      <c r="N88" s="44"/>
      <c r="O88" s="44"/>
      <c r="P88" s="57" t="str">
        <f>IF(AND(ISNUMBER(N88),ISNUMBER(O88)),IF(N88&gt;=Engagement!$C$45,IF(O88&gt;=Engagement!$C$45,"Invest","Migrate"),IF(O88&gt;=Engagement!$C$45,"Tolerate","Eliminate")),"")</f>
        <v/>
      </c>
      <c r="Q88" s="87" t="str">
        <f t="shared" ca="1" si="2"/>
        <v/>
      </c>
      <c r="R88" s="22"/>
      <c r="S88" s="44"/>
      <c r="T88" s="22"/>
      <c r="U88" s="22"/>
    </row>
    <row r="89" spans="1:21" ht="14" x14ac:dyDescent="0.15">
      <c r="A89" s="43" t="s">
        <v>2444</v>
      </c>
      <c r="B89" s="22"/>
      <c r="C89" s="22"/>
      <c r="D89" s="22"/>
      <c r="E89" s="22"/>
      <c r="F89" s="22"/>
      <c r="G89" s="22"/>
      <c r="H89" s="22"/>
      <c r="I89" s="61"/>
      <c r="J89" s="44"/>
      <c r="K89" s="75"/>
      <c r="L89" s="45"/>
      <c r="M89" s="44"/>
      <c r="N89" s="44"/>
      <c r="O89" s="44"/>
      <c r="P89" s="57" t="str">
        <f>IF(AND(ISNUMBER(N89),ISNUMBER(O89)),IF(N89&gt;=Engagement!$C$45,IF(O89&gt;=Engagement!$C$45,"Invest","Migrate"),IF(O89&gt;=Engagement!$C$45,"Tolerate","Eliminate")),"")</f>
        <v/>
      </c>
      <c r="Q89" s="87" t="str">
        <f t="shared" ca="1" si="2"/>
        <v/>
      </c>
      <c r="R89" s="22"/>
      <c r="S89" s="44"/>
      <c r="T89" s="22"/>
      <c r="U89" s="22"/>
    </row>
    <row r="90" spans="1:21" ht="14" x14ac:dyDescent="0.15">
      <c r="A90" s="43" t="s">
        <v>2445</v>
      </c>
      <c r="B90" s="22"/>
      <c r="C90" s="22"/>
      <c r="D90" s="22"/>
      <c r="E90" s="22"/>
      <c r="F90" s="22"/>
      <c r="G90" s="22"/>
      <c r="H90" s="22"/>
      <c r="I90" s="61"/>
      <c r="J90" s="44"/>
      <c r="K90" s="75"/>
      <c r="L90" s="45"/>
      <c r="M90" s="44"/>
      <c r="N90" s="44"/>
      <c r="O90" s="44"/>
      <c r="P90" s="57" t="str">
        <f>IF(AND(ISNUMBER(N90),ISNUMBER(O90)),IF(N90&gt;=Engagement!$C$45,IF(O90&gt;=Engagement!$C$45,"Invest","Migrate"),IF(O90&gt;=Engagement!$C$45,"Tolerate","Eliminate")),"")</f>
        <v/>
      </c>
      <c r="Q90" s="87" t="str">
        <f t="shared" ca="1" si="2"/>
        <v/>
      </c>
      <c r="R90" s="22"/>
      <c r="S90" s="44"/>
      <c r="T90" s="22"/>
      <c r="U90" s="22"/>
    </row>
    <row r="91" spans="1:21" ht="14" x14ac:dyDescent="0.15">
      <c r="A91" s="43" t="s">
        <v>2446</v>
      </c>
      <c r="B91" s="22"/>
      <c r="C91" s="22"/>
      <c r="D91" s="22"/>
      <c r="E91" s="22"/>
      <c r="F91" s="22"/>
      <c r="G91" s="22"/>
      <c r="H91" s="22"/>
      <c r="I91" s="61"/>
      <c r="J91" s="44"/>
      <c r="K91" s="75"/>
      <c r="L91" s="45"/>
      <c r="M91" s="44"/>
      <c r="N91" s="44"/>
      <c r="O91" s="44"/>
      <c r="P91" s="57" t="str">
        <f>IF(AND(ISNUMBER(N91),ISNUMBER(O91)),IF(N91&gt;=Engagement!$C$45,IF(O91&gt;=Engagement!$C$45,"Invest","Migrate"),IF(O91&gt;=Engagement!$C$45,"Tolerate","Eliminate")),"")</f>
        <v/>
      </c>
      <c r="Q91" s="87" t="str">
        <f t="shared" ca="1" si="2"/>
        <v/>
      </c>
      <c r="R91" s="22"/>
      <c r="S91" s="44"/>
      <c r="T91" s="22"/>
      <c r="U91" s="22"/>
    </row>
    <row r="92" spans="1:21" ht="14" x14ac:dyDescent="0.15">
      <c r="A92" s="43" t="s">
        <v>2447</v>
      </c>
      <c r="B92" s="22"/>
      <c r="C92" s="22"/>
      <c r="D92" s="22"/>
      <c r="E92" s="22"/>
      <c r="F92" s="22"/>
      <c r="G92" s="22"/>
      <c r="H92" s="22"/>
      <c r="I92" s="61"/>
      <c r="J92" s="44"/>
      <c r="K92" s="75"/>
      <c r="L92" s="45"/>
      <c r="M92" s="44"/>
      <c r="N92" s="44"/>
      <c r="O92" s="44"/>
      <c r="P92" s="57" t="str">
        <f>IF(AND(ISNUMBER(N92),ISNUMBER(O92)),IF(N92&gt;=Engagement!$C$45,IF(O92&gt;=Engagement!$C$45,"Invest","Migrate"),IF(O92&gt;=Engagement!$C$45,"Tolerate","Eliminate")),"")</f>
        <v/>
      </c>
      <c r="Q92" s="87" t="str">
        <f t="shared" ca="1" si="2"/>
        <v/>
      </c>
      <c r="R92" s="22"/>
      <c r="S92" s="44"/>
      <c r="T92" s="22"/>
      <c r="U92" s="22"/>
    </row>
    <row r="93" spans="1:21" ht="14" x14ac:dyDescent="0.15">
      <c r="A93" s="43" t="s">
        <v>2448</v>
      </c>
      <c r="B93" s="22"/>
      <c r="C93" s="22"/>
      <c r="D93" s="22"/>
      <c r="E93" s="22"/>
      <c r="F93" s="22"/>
      <c r="G93" s="22"/>
      <c r="H93" s="22"/>
      <c r="I93" s="61"/>
      <c r="J93" s="44"/>
      <c r="K93" s="75"/>
      <c r="L93" s="45"/>
      <c r="M93" s="44"/>
      <c r="N93" s="44"/>
      <c r="O93" s="44"/>
      <c r="P93" s="57" t="str">
        <f>IF(AND(ISNUMBER(N93),ISNUMBER(O93)),IF(N93&gt;=Engagement!$C$45,IF(O93&gt;=Engagement!$C$45,"Invest","Migrate"),IF(O93&gt;=Engagement!$C$45,"Tolerate","Eliminate")),"")</f>
        <v/>
      </c>
      <c r="Q93" s="87" t="str">
        <f t="shared" ca="1" si="2"/>
        <v/>
      </c>
      <c r="R93" s="22"/>
      <c r="S93" s="44"/>
      <c r="T93" s="22"/>
      <c r="U93" s="22"/>
    </row>
    <row r="94" spans="1:21" ht="14" x14ac:dyDescent="0.15">
      <c r="A94" s="43" t="s">
        <v>2449</v>
      </c>
      <c r="B94" s="22"/>
      <c r="C94" s="22"/>
      <c r="D94" s="22"/>
      <c r="E94" s="22"/>
      <c r="F94" s="22"/>
      <c r="G94" s="22"/>
      <c r="H94" s="22"/>
      <c r="I94" s="61"/>
      <c r="J94" s="44"/>
      <c r="K94" s="75"/>
      <c r="L94" s="45"/>
      <c r="M94" s="44"/>
      <c r="N94" s="44"/>
      <c r="O94" s="44"/>
      <c r="P94" s="57" t="str">
        <f>IF(AND(ISNUMBER(N94),ISNUMBER(O94)),IF(N94&gt;=Engagement!$C$45,IF(O94&gt;=Engagement!$C$45,"Invest","Migrate"),IF(O94&gt;=Engagement!$C$45,"Tolerate","Eliminate")),"")</f>
        <v/>
      </c>
      <c r="Q94" s="87" t="str">
        <f t="shared" ca="1" si="2"/>
        <v/>
      </c>
      <c r="R94" s="22"/>
      <c r="S94" s="44"/>
      <c r="T94" s="22"/>
      <c r="U94" s="22"/>
    </row>
    <row r="95" spans="1:21" ht="14" x14ac:dyDescent="0.15">
      <c r="A95" s="43" t="s">
        <v>2450</v>
      </c>
      <c r="B95" s="22"/>
      <c r="C95" s="22"/>
      <c r="D95" s="22"/>
      <c r="E95" s="22"/>
      <c r="F95" s="22"/>
      <c r="G95" s="22"/>
      <c r="H95" s="22"/>
      <c r="I95" s="61"/>
      <c r="J95" s="44"/>
      <c r="K95" s="75"/>
      <c r="L95" s="45"/>
      <c r="M95" s="44"/>
      <c r="N95" s="44"/>
      <c r="O95" s="44"/>
      <c r="P95" s="57" t="str">
        <f>IF(AND(ISNUMBER(N95),ISNUMBER(O95)),IF(N95&gt;=Engagement!$C$45,IF(O95&gt;=Engagement!$C$45,"Invest","Migrate"),IF(O95&gt;=Engagement!$C$45,"Tolerate","Eliminate")),"")</f>
        <v/>
      </c>
      <c r="Q95" s="87" t="str">
        <f t="shared" ca="1" si="2"/>
        <v/>
      </c>
      <c r="R95" s="22"/>
      <c r="S95" s="44"/>
      <c r="T95" s="22"/>
      <c r="U95" s="22"/>
    </row>
    <row r="96" spans="1:21" ht="14" x14ac:dyDescent="0.15">
      <c r="A96" s="43" t="s">
        <v>2451</v>
      </c>
      <c r="B96" s="22"/>
      <c r="C96" s="22"/>
      <c r="D96" s="22"/>
      <c r="E96" s="22"/>
      <c r="F96" s="22"/>
      <c r="G96" s="22"/>
      <c r="H96" s="22"/>
      <c r="I96" s="61"/>
      <c r="J96" s="44"/>
      <c r="K96" s="75"/>
      <c r="L96" s="45"/>
      <c r="M96" s="44"/>
      <c r="N96" s="44"/>
      <c r="O96" s="44"/>
      <c r="P96" s="57" t="str">
        <f>IF(AND(ISNUMBER(N96),ISNUMBER(O96)),IF(N96&gt;=Engagement!$C$45,IF(O96&gt;=Engagement!$C$45,"Invest","Migrate"),IF(O96&gt;=Engagement!$C$45,"Tolerate","Eliminate")),"")</f>
        <v/>
      </c>
      <c r="Q96" s="87" t="str">
        <f t="shared" ca="1" si="2"/>
        <v/>
      </c>
      <c r="R96" s="22"/>
      <c r="S96" s="44"/>
      <c r="T96" s="22"/>
      <c r="U96" s="22"/>
    </row>
    <row r="97" spans="1:21" ht="14" x14ac:dyDescent="0.15">
      <c r="A97" s="43" t="s">
        <v>2452</v>
      </c>
      <c r="B97" s="22"/>
      <c r="C97" s="22"/>
      <c r="D97" s="22"/>
      <c r="E97" s="22"/>
      <c r="F97" s="22"/>
      <c r="G97" s="22"/>
      <c r="H97" s="22"/>
      <c r="I97" s="61"/>
      <c r="J97" s="44"/>
      <c r="K97" s="75"/>
      <c r="L97" s="45"/>
      <c r="M97" s="44"/>
      <c r="N97" s="44"/>
      <c r="O97" s="44"/>
      <c r="P97" s="57" t="str">
        <f>IF(AND(ISNUMBER(N97),ISNUMBER(O97)),IF(N97&gt;=Engagement!$C$45,IF(O97&gt;=Engagement!$C$45,"Invest","Migrate"),IF(O97&gt;=Engagement!$C$45,"Tolerate","Eliminate")),"")</f>
        <v/>
      </c>
      <c r="Q97" s="87" t="str">
        <f t="shared" ca="1" si="2"/>
        <v/>
      </c>
      <c r="R97" s="22"/>
      <c r="S97" s="44"/>
      <c r="T97" s="22"/>
      <c r="U97" s="22"/>
    </row>
    <row r="98" spans="1:21" ht="14" x14ac:dyDescent="0.15">
      <c r="A98" s="43" t="s">
        <v>2453</v>
      </c>
      <c r="B98" s="22"/>
      <c r="C98" s="22"/>
      <c r="D98" s="22"/>
      <c r="E98" s="22"/>
      <c r="F98" s="22"/>
      <c r="G98" s="22"/>
      <c r="H98" s="22"/>
      <c r="I98" s="61"/>
      <c r="J98" s="44"/>
      <c r="K98" s="75"/>
      <c r="L98" s="45"/>
      <c r="M98" s="44"/>
      <c r="N98" s="44"/>
      <c r="O98" s="44"/>
      <c r="P98" s="57" t="str">
        <f>IF(AND(ISNUMBER(N98),ISNUMBER(O98)),IF(N98&gt;=Engagement!$C$45,IF(O98&gt;=Engagement!$C$45,"Invest","Migrate"),IF(O98&gt;=Engagement!$C$45,"Tolerate","Eliminate")),"")</f>
        <v/>
      </c>
      <c r="Q98" s="87" t="str">
        <f t="shared" ca="1" si="2"/>
        <v/>
      </c>
      <c r="R98" s="22"/>
      <c r="S98" s="44"/>
      <c r="T98" s="22"/>
      <c r="U98" s="22"/>
    </row>
    <row r="99" spans="1:21" ht="14" x14ac:dyDescent="0.15">
      <c r="A99" s="43" t="s">
        <v>2454</v>
      </c>
      <c r="B99" s="22"/>
      <c r="C99" s="22"/>
      <c r="D99" s="22"/>
      <c r="E99" s="22"/>
      <c r="F99" s="22"/>
      <c r="G99" s="22"/>
      <c r="H99" s="22"/>
      <c r="I99" s="61"/>
      <c r="J99" s="44"/>
      <c r="K99" s="75"/>
      <c r="L99" s="45"/>
      <c r="M99" s="44"/>
      <c r="N99" s="44"/>
      <c r="O99" s="44"/>
      <c r="P99" s="57" t="str">
        <f>IF(AND(ISNUMBER(N99),ISNUMBER(O99)),IF(N99&gt;=Engagement!$C$45,IF(O99&gt;=Engagement!$C$45,"Invest","Migrate"),IF(O99&gt;=Engagement!$C$45,"Tolerate","Eliminate")),"")</f>
        <v/>
      </c>
      <c r="Q99" s="87" t="str">
        <f t="shared" ca="1" si="2"/>
        <v/>
      </c>
      <c r="R99" s="22"/>
      <c r="S99" s="44"/>
      <c r="T99" s="22"/>
      <c r="U99" s="22"/>
    </row>
    <row r="100" spans="1:21" ht="14" x14ac:dyDescent="0.15">
      <c r="A100" s="43" t="s">
        <v>2455</v>
      </c>
      <c r="B100" s="22"/>
      <c r="C100" s="22"/>
      <c r="D100" s="22"/>
      <c r="E100" s="22"/>
      <c r="F100" s="22"/>
      <c r="G100" s="22"/>
      <c r="H100" s="22"/>
      <c r="I100" s="61"/>
      <c r="J100" s="44"/>
      <c r="K100" s="75"/>
      <c r="L100" s="45"/>
      <c r="M100" s="44"/>
      <c r="N100" s="44"/>
      <c r="O100" s="44"/>
      <c r="P100" s="57" t="str">
        <f>IF(AND(ISNUMBER(N100),ISNUMBER(O100)),IF(N100&gt;=Engagement!$C$45,IF(O100&gt;=Engagement!$C$45,"Invest","Migrate"),IF(O100&gt;=Engagement!$C$45,"Tolerate","Eliminate")),"")</f>
        <v/>
      </c>
      <c r="Q100" s="87" t="str">
        <f t="shared" ca="1" si="2"/>
        <v/>
      </c>
      <c r="R100" s="22"/>
      <c r="S100" s="44"/>
      <c r="T100" s="22"/>
      <c r="U100" s="22"/>
    </row>
    <row r="101" spans="1:21" ht="14" x14ac:dyDescent="0.15">
      <c r="A101" s="43" t="s">
        <v>2456</v>
      </c>
      <c r="B101" s="22"/>
      <c r="C101" s="22"/>
      <c r="D101" s="22"/>
      <c r="E101" s="22"/>
      <c r="F101" s="22"/>
      <c r="G101" s="22"/>
      <c r="H101" s="22"/>
      <c r="I101" s="61"/>
      <c r="J101" s="44"/>
      <c r="K101" s="75"/>
      <c r="L101" s="45"/>
      <c r="M101" s="44"/>
      <c r="N101" s="44"/>
      <c r="O101" s="44"/>
      <c r="P101" s="57" t="str">
        <f>IF(AND(ISNUMBER(N101),ISNUMBER(O101)),IF(N101&gt;=Engagement!$C$45,IF(O101&gt;=Engagement!$C$45,"Invest","Migrate"),IF(O101&gt;=Engagement!$C$45,"Tolerate","Eliminate")),"")</f>
        <v/>
      </c>
      <c r="Q101" s="87" t="str">
        <f t="shared" ca="1" si="2"/>
        <v/>
      </c>
      <c r="R101" s="22"/>
      <c r="S101" s="44"/>
      <c r="T101" s="22"/>
      <c r="U101" s="22"/>
    </row>
    <row r="102" spans="1:21" ht="14" x14ac:dyDescent="0.15">
      <c r="A102" s="43" t="s">
        <v>2457</v>
      </c>
      <c r="B102" s="22"/>
      <c r="C102" s="22"/>
      <c r="D102" s="22"/>
      <c r="E102" s="22"/>
      <c r="F102" s="22"/>
      <c r="G102" s="22"/>
      <c r="H102" s="22"/>
      <c r="I102" s="61"/>
      <c r="J102" s="44"/>
      <c r="K102" s="75"/>
      <c r="L102" s="45"/>
      <c r="M102" s="44"/>
      <c r="N102" s="44"/>
      <c r="O102" s="44"/>
      <c r="P102" s="57" t="str">
        <f>IF(AND(ISNUMBER(N102),ISNUMBER(O102)),IF(N102&gt;=Engagement!$C$45,IF(O102&gt;=Engagement!$C$45,"Invest","Migrate"),IF(O102&gt;=Engagement!$C$45,"Tolerate","Eliminate")),"")</f>
        <v/>
      </c>
      <c r="Q102" s="87" t="str">
        <f t="shared" ref="Q102:Q133" ca="1" si="3">IF(ISNUMBER(L102),L102-TODAY(),"")</f>
        <v/>
      </c>
      <c r="R102" s="22"/>
      <c r="S102" s="44"/>
      <c r="T102" s="22"/>
      <c r="U102" s="22"/>
    </row>
    <row r="103" spans="1:21" ht="14" x14ac:dyDescent="0.15">
      <c r="A103" s="43" t="s">
        <v>2458</v>
      </c>
      <c r="B103" s="22"/>
      <c r="C103" s="22"/>
      <c r="D103" s="22"/>
      <c r="E103" s="22"/>
      <c r="F103" s="22"/>
      <c r="G103" s="22"/>
      <c r="H103" s="22"/>
      <c r="I103" s="61"/>
      <c r="J103" s="44"/>
      <c r="K103" s="75"/>
      <c r="L103" s="45"/>
      <c r="M103" s="44"/>
      <c r="N103" s="44"/>
      <c r="O103" s="44"/>
      <c r="P103" s="57" t="str">
        <f>IF(AND(ISNUMBER(N103),ISNUMBER(O103)),IF(N103&gt;=Engagement!$C$45,IF(O103&gt;=Engagement!$C$45,"Invest","Migrate"),IF(O103&gt;=Engagement!$C$45,"Tolerate","Eliminate")),"")</f>
        <v/>
      </c>
      <c r="Q103" s="87" t="str">
        <f t="shared" ca="1" si="3"/>
        <v/>
      </c>
      <c r="R103" s="22"/>
      <c r="S103" s="44"/>
      <c r="T103" s="22"/>
      <c r="U103" s="22"/>
    </row>
    <row r="104" spans="1:21" ht="14" x14ac:dyDescent="0.15">
      <c r="A104" s="43" t="s">
        <v>2459</v>
      </c>
      <c r="B104" s="22"/>
      <c r="C104" s="22"/>
      <c r="D104" s="22"/>
      <c r="E104" s="22"/>
      <c r="F104" s="22"/>
      <c r="G104" s="22"/>
      <c r="H104" s="22"/>
      <c r="I104" s="61"/>
      <c r="J104" s="44"/>
      <c r="K104" s="75"/>
      <c r="L104" s="45"/>
      <c r="M104" s="44"/>
      <c r="N104" s="44"/>
      <c r="O104" s="44"/>
      <c r="P104" s="57" t="str">
        <f>IF(AND(ISNUMBER(N104),ISNUMBER(O104)),IF(N104&gt;=Engagement!$C$45,IF(O104&gt;=Engagement!$C$45,"Invest","Migrate"),IF(O104&gt;=Engagement!$C$45,"Tolerate","Eliminate")),"")</f>
        <v/>
      </c>
      <c r="Q104" s="87" t="str">
        <f t="shared" ca="1" si="3"/>
        <v/>
      </c>
      <c r="R104" s="22"/>
      <c r="S104" s="44"/>
      <c r="T104" s="22"/>
      <c r="U104" s="22"/>
    </row>
    <row r="105" spans="1:21" ht="14" x14ac:dyDescent="0.15">
      <c r="A105" s="43" t="s">
        <v>2460</v>
      </c>
      <c r="B105" s="22"/>
      <c r="C105" s="22"/>
      <c r="D105" s="22"/>
      <c r="E105" s="22"/>
      <c r="F105" s="22"/>
      <c r="G105" s="22"/>
      <c r="H105" s="22"/>
      <c r="I105" s="61"/>
      <c r="J105" s="44"/>
      <c r="K105" s="75"/>
      <c r="L105" s="45"/>
      <c r="M105" s="44"/>
      <c r="N105" s="44"/>
      <c r="O105" s="44"/>
      <c r="P105" s="57" t="str">
        <f>IF(AND(ISNUMBER(N105),ISNUMBER(O105)),IF(N105&gt;=Engagement!$C$45,IF(O105&gt;=Engagement!$C$45,"Invest","Migrate"),IF(O105&gt;=Engagement!$C$45,"Tolerate","Eliminate")),"")</f>
        <v/>
      </c>
      <c r="Q105" s="87" t="str">
        <f t="shared" ca="1" si="3"/>
        <v/>
      </c>
      <c r="R105" s="22"/>
      <c r="S105" s="44"/>
      <c r="T105" s="22"/>
      <c r="U105" s="22"/>
    </row>
    <row r="106" spans="1:21" ht="14" x14ac:dyDescent="0.15">
      <c r="A106" s="43" t="s">
        <v>2461</v>
      </c>
      <c r="B106" s="22"/>
      <c r="C106" s="22"/>
      <c r="D106" s="22"/>
      <c r="E106" s="22"/>
      <c r="F106" s="22"/>
      <c r="G106" s="22"/>
      <c r="H106" s="22"/>
      <c r="I106" s="61"/>
      <c r="J106" s="44"/>
      <c r="K106" s="75"/>
      <c r="L106" s="45"/>
      <c r="M106" s="44"/>
      <c r="N106" s="44"/>
      <c r="O106" s="44"/>
      <c r="P106" s="57" t="str">
        <f>IF(AND(ISNUMBER(N106),ISNUMBER(O106)),IF(N106&gt;=Engagement!$C$45,IF(O106&gt;=Engagement!$C$45,"Invest","Migrate"),IF(O106&gt;=Engagement!$C$45,"Tolerate","Eliminate")),"")</f>
        <v/>
      </c>
      <c r="Q106" s="87" t="str">
        <f t="shared" ca="1" si="3"/>
        <v/>
      </c>
      <c r="R106" s="22"/>
      <c r="S106" s="44"/>
      <c r="T106" s="22"/>
      <c r="U106" s="22"/>
    </row>
    <row r="107" spans="1:21" ht="14" x14ac:dyDescent="0.15">
      <c r="A107" s="43" t="s">
        <v>2462</v>
      </c>
      <c r="B107" s="22"/>
      <c r="C107" s="22"/>
      <c r="D107" s="22"/>
      <c r="E107" s="22"/>
      <c r="F107" s="22"/>
      <c r="G107" s="22"/>
      <c r="H107" s="22"/>
      <c r="I107" s="61"/>
      <c r="J107" s="44"/>
      <c r="K107" s="75"/>
      <c r="L107" s="45"/>
      <c r="M107" s="44"/>
      <c r="N107" s="44"/>
      <c r="O107" s="44"/>
      <c r="P107" s="57" t="str">
        <f>IF(AND(ISNUMBER(N107),ISNUMBER(O107)),IF(N107&gt;=Engagement!$C$45,IF(O107&gt;=Engagement!$C$45,"Invest","Migrate"),IF(O107&gt;=Engagement!$C$45,"Tolerate","Eliminate")),"")</f>
        <v/>
      </c>
      <c r="Q107" s="87" t="str">
        <f t="shared" ca="1" si="3"/>
        <v/>
      </c>
      <c r="R107" s="22"/>
      <c r="S107" s="44"/>
      <c r="T107" s="22"/>
      <c r="U107" s="22"/>
    </row>
    <row r="108" spans="1:21" ht="14" x14ac:dyDescent="0.15">
      <c r="A108" s="43" t="s">
        <v>2463</v>
      </c>
      <c r="B108" s="22"/>
      <c r="C108" s="22"/>
      <c r="D108" s="22"/>
      <c r="E108" s="22"/>
      <c r="F108" s="22"/>
      <c r="G108" s="22"/>
      <c r="H108" s="22"/>
      <c r="I108" s="61"/>
      <c r="J108" s="44"/>
      <c r="K108" s="75"/>
      <c r="L108" s="45"/>
      <c r="M108" s="44"/>
      <c r="N108" s="44"/>
      <c r="O108" s="44"/>
      <c r="P108" s="57" t="str">
        <f>IF(AND(ISNUMBER(N108),ISNUMBER(O108)),IF(N108&gt;=Engagement!$C$45,IF(O108&gt;=Engagement!$C$45,"Invest","Migrate"),IF(O108&gt;=Engagement!$C$45,"Tolerate","Eliminate")),"")</f>
        <v/>
      </c>
      <c r="Q108" s="87" t="str">
        <f t="shared" ca="1" si="3"/>
        <v/>
      </c>
      <c r="R108" s="22"/>
      <c r="S108" s="44"/>
      <c r="T108" s="22"/>
      <c r="U108" s="22"/>
    </row>
    <row r="109" spans="1:21" ht="14" x14ac:dyDescent="0.15">
      <c r="A109" s="43" t="s">
        <v>2464</v>
      </c>
      <c r="B109" s="22"/>
      <c r="C109" s="22"/>
      <c r="D109" s="22"/>
      <c r="E109" s="22"/>
      <c r="F109" s="22"/>
      <c r="G109" s="22"/>
      <c r="H109" s="22"/>
      <c r="I109" s="61"/>
      <c r="J109" s="44"/>
      <c r="K109" s="75"/>
      <c r="L109" s="45"/>
      <c r="M109" s="44"/>
      <c r="N109" s="44"/>
      <c r="O109" s="44"/>
      <c r="P109" s="57" t="str">
        <f>IF(AND(ISNUMBER(N109),ISNUMBER(O109)),IF(N109&gt;=Engagement!$C$45,IF(O109&gt;=Engagement!$C$45,"Invest","Migrate"),IF(O109&gt;=Engagement!$C$45,"Tolerate","Eliminate")),"")</f>
        <v/>
      </c>
      <c r="Q109" s="87" t="str">
        <f t="shared" ca="1" si="3"/>
        <v/>
      </c>
      <c r="R109" s="22"/>
      <c r="S109" s="44"/>
      <c r="T109" s="22"/>
      <c r="U109" s="22"/>
    </row>
    <row r="110" spans="1:21" ht="14" x14ac:dyDescent="0.15">
      <c r="A110" s="43" t="s">
        <v>2465</v>
      </c>
      <c r="B110" s="22"/>
      <c r="C110" s="22"/>
      <c r="D110" s="22"/>
      <c r="E110" s="22"/>
      <c r="F110" s="22"/>
      <c r="G110" s="22"/>
      <c r="H110" s="22"/>
      <c r="I110" s="61"/>
      <c r="J110" s="44"/>
      <c r="K110" s="75"/>
      <c r="L110" s="45"/>
      <c r="M110" s="44"/>
      <c r="N110" s="44"/>
      <c r="O110" s="44"/>
      <c r="P110" s="57" t="str">
        <f>IF(AND(ISNUMBER(N110),ISNUMBER(O110)),IF(N110&gt;=Engagement!$C$45,IF(O110&gt;=Engagement!$C$45,"Invest","Migrate"),IF(O110&gt;=Engagement!$C$45,"Tolerate","Eliminate")),"")</f>
        <v/>
      </c>
      <c r="Q110" s="87" t="str">
        <f t="shared" ca="1" si="3"/>
        <v/>
      </c>
      <c r="R110" s="22"/>
      <c r="S110" s="44"/>
      <c r="T110" s="22"/>
      <c r="U110" s="22"/>
    </row>
    <row r="111" spans="1:21" ht="14" x14ac:dyDescent="0.15">
      <c r="A111" s="43" t="s">
        <v>2466</v>
      </c>
      <c r="B111" s="22"/>
      <c r="C111" s="22"/>
      <c r="D111" s="22"/>
      <c r="E111" s="22"/>
      <c r="F111" s="22"/>
      <c r="G111" s="22"/>
      <c r="H111" s="22"/>
      <c r="I111" s="61"/>
      <c r="J111" s="44"/>
      <c r="K111" s="75"/>
      <c r="L111" s="45"/>
      <c r="M111" s="44"/>
      <c r="N111" s="44"/>
      <c r="O111" s="44"/>
      <c r="P111" s="57" t="str">
        <f>IF(AND(ISNUMBER(N111),ISNUMBER(O111)),IF(N111&gt;=Engagement!$C$45,IF(O111&gt;=Engagement!$C$45,"Invest","Migrate"),IF(O111&gt;=Engagement!$C$45,"Tolerate","Eliminate")),"")</f>
        <v/>
      </c>
      <c r="Q111" s="87" t="str">
        <f t="shared" ca="1" si="3"/>
        <v/>
      </c>
      <c r="R111" s="22"/>
      <c r="S111" s="44"/>
      <c r="T111" s="22"/>
      <c r="U111" s="22"/>
    </row>
    <row r="112" spans="1:21" ht="14" x14ac:dyDescent="0.15">
      <c r="A112" s="43" t="s">
        <v>2467</v>
      </c>
      <c r="B112" s="22"/>
      <c r="C112" s="22"/>
      <c r="D112" s="22"/>
      <c r="E112" s="22"/>
      <c r="F112" s="22"/>
      <c r="G112" s="22"/>
      <c r="H112" s="22"/>
      <c r="I112" s="61"/>
      <c r="J112" s="44"/>
      <c r="K112" s="75"/>
      <c r="L112" s="45"/>
      <c r="M112" s="44"/>
      <c r="N112" s="44"/>
      <c r="O112" s="44"/>
      <c r="P112" s="57" t="str">
        <f>IF(AND(ISNUMBER(N112),ISNUMBER(O112)),IF(N112&gt;=Engagement!$C$45,IF(O112&gt;=Engagement!$C$45,"Invest","Migrate"),IF(O112&gt;=Engagement!$C$45,"Tolerate","Eliminate")),"")</f>
        <v/>
      </c>
      <c r="Q112" s="87" t="str">
        <f t="shared" ca="1" si="3"/>
        <v/>
      </c>
      <c r="R112" s="22"/>
      <c r="S112" s="44"/>
      <c r="T112" s="22"/>
      <c r="U112" s="22"/>
    </row>
    <row r="113" spans="1:21" ht="14" x14ac:dyDescent="0.15">
      <c r="A113" s="43" t="s">
        <v>2468</v>
      </c>
      <c r="B113" s="22"/>
      <c r="C113" s="22"/>
      <c r="D113" s="22"/>
      <c r="E113" s="22"/>
      <c r="F113" s="22"/>
      <c r="G113" s="22"/>
      <c r="H113" s="22"/>
      <c r="I113" s="61"/>
      <c r="J113" s="44"/>
      <c r="K113" s="75"/>
      <c r="L113" s="45"/>
      <c r="M113" s="44"/>
      <c r="N113" s="44"/>
      <c r="O113" s="44"/>
      <c r="P113" s="57" t="str">
        <f>IF(AND(ISNUMBER(N113),ISNUMBER(O113)),IF(N113&gt;=Engagement!$C$45,IF(O113&gt;=Engagement!$C$45,"Invest","Migrate"),IF(O113&gt;=Engagement!$C$45,"Tolerate","Eliminate")),"")</f>
        <v/>
      </c>
      <c r="Q113" s="87" t="str">
        <f t="shared" ca="1" si="3"/>
        <v/>
      </c>
      <c r="R113" s="22"/>
      <c r="S113" s="44"/>
      <c r="T113" s="22"/>
      <c r="U113" s="22"/>
    </row>
    <row r="114" spans="1:21" ht="14" x14ac:dyDescent="0.15">
      <c r="A114" s="43" t="s">
        <v>2469</v>
      </c>
      <c r="B114" s="22"/>
      <c r="C114" s="22"/>
      <c r="D114" s="22"/>
      <c r="E114" s="22"/>
      <c r="F114" s="22"/>
      <c r="G114" s="22"/>
      <c r="H114" s="22"/>
      <c r="I114" s="61"/>
      <c r="J114" s="44"/>
      <c r="K114" s="75"/>
      <c r="L114" s="45"/>
      <c r="M114" s="44"/>
      <c r="N114" s="44"/>
      <c r="O114" s="44"/>
      <c r="P114" s="57" t="str">
        <f>IF(AND(ISNUMBER(N114),ISNUMBER(O114)),IF(N114&gt;=Engagement!$C$45,IF(O114&gt;=Engagement!$C$45,"Invest","Migrate"),IF(O114&gt;=Engagement!$C$45,"Tolerate","Eliminate")),"")</f>
        <v/>
      </c>
      <c r="Q114" s="87" t="str">
        <f t="shared" ca="1" si="3"/>
        <v/>
      </c>
      <c r="R114" s="22"/>
      <c r="S114" s="44"/>
      <c r="T114" s="22"/>
      <c r="U114" s="22"/>
    </row>
    <row r="115" spans="1:21" ht="14" x14ac:dyDescent="0.15">
      <c r="A115" s="43" t="s">
        <v>2470</v>
      </c>
      <c r="B115" s="22"/>
      <c r="C115" s="22"/>
      <c r="D115" s="22"/>
      <c r="E115" s="22"/>
      <c r="F115" s="22"/>
      <c r="G115" s="22"/>
      <c r="H115" s="22"/>
      <c r="I115" s="61"/>
      <c r="J115" s="44"/>
      <c r="K115" s="75"/>
      <c r="L115" s="45"/>
      <c r="M115" s="44"/>
      <c r="N115" s="44"/>
      <c r="O115" s="44"/>
      <c r="P115" s="57" t="str">
        <f>IF(AND(ISNUMBER(N115),ISNUMBER(O115)),IF(N115&gt;=Engagement!$C$45,IF(O115&gt;=Engagement!$C$45,"Invest","Migrate"),IF(O115&gt;=Engagement!$C$45,"Tolerate","Eliminate")),"")</f>
        <v/>
      </c>
      <c r="Q115" s="87" t="str">
        <f t="shared" ca="1" si="3"/>
        <v/>
      </c>
      <c r="R115" s="22"/>
      <c r="S115" s="44"/>
      <c r="T115" s="22"/>
      <c r="U115" s="22"/>
    </row>
    <row r="116" spans="1:21" ht="14" x14ac:dyDescent="0.15">
      <c r="A116" s="43" t="s">
        <v>2471</v>
      </c>
      <c r="B116" s="22"/>
      <c r="C116" s="22"/>
      <c r="D116" s="22"/>
      <c r="E116" s="22"/>
      <c r="F116" s="22"/>
      <c r="G116" s="22"/>
      <c r="H116" s="22"/>
      <c r="I116" s="61"/>
      <c r="J116" s="44"/>
      <c r="K116" s="75"/>
      <c r="L116" s="45"/>
      <c r="M116" s="44"/>
      <c r="N116" s="44"/>
      <c r="O116" s="44"/>
      <c r="P116" s="57" t="str">
        <f>IF(AND(ISNUMBER(N116),ISNUMBER(O116)),IF(N116&gt;=Engagement!$C$45,IF(O116&gt;=Engagement!$C$45,"Invest","Migrate"),IF(O116&gt;=Engagement!$C$45,"Tolerate","Eliminate")),"")</f>
        <v/>
      </c>
      <c r="Q116" s="87" t="str">
        <f t="shared" ca="1" si="3"/>
        <v/>
      </c>
      <c r="R116" s="22"/>
      <c r="S116" s="44"/>
      <c r="T116" s="22"/>
      <c r="U116" s="22"/>
    </row>
    <row r="117" spans="1:21" ht="14" x14ac:dyDescent="0.15">
      <c r="A117" s="43" t="s">
        <v>2472</v>
      </c>
      <c r="B117" s="22"/>
      <c r="C117" s="22"/>
      <c r="D117" s="22"/>
      <c r="E117" s="22"/>
      <c r="F117" s="22"/>
      <c r="G117" s="22"/>
      <c r="H117" s="22"/>
      <c r="I117" s="61"/>
      <c r="J117" s="44"/>
      <c r="K117" s="75"/>
      <c r="L117" s="45"/>
      <c r="M117" s="44"/>
      <c r="N117" s="44"/>
      <c r="O117" s="44"/>
      <c r="P117" s="57" t="str">
        <f>IF(AND(ISNUMBER(N117),ISNUMBER(O117)),IF(N117&gt;=Engagement!$C$45,IF(O117&gt;=Engagement!$C$45,"Invest","Migrate"),IF(O117&gt;=Engagement!$C$45,"Tolerate","Eliminate")),"")</f>
        <v/>
      </c>
      <c r="Q117" s="87" t="str">
        <f t="shared" ca="1" si="3"/>
        <v/>
      </c>
      <c r="R117" s="22"/>
      <c r="S117" s="44"/>
      <c r="T117" s="22"/>
      <c r="U117" s="22"/>
    </row>
    <row r="118" spans="1:21" ht="14" x14ac:dyDescent="0.15">
      <c r="A118" s="43" t="s">
        <v>2473</v>
      </c>
      <c r="B118" s="22"/>
      <c r="C118" s="22"/>
      <c r="D118" s="22"/>
      <c r="E118" s="22"/>
      <c r="F118" s="22"/>
      <c r="G118" s="22"/>
      <c r="H118" s="22"/>
      <c r="I118" s="61"/>
      <c r="J118" s="44"/>
      <c r="K118" s="75"/>
      <c r="L118" s="45"/>
      <c r="M118" s="44"/>
      <c r="N118" s="44"/>
      <c r="O118" s="44"/>
      <c r="P118" s="57" t="str">
        <f>IF(AND(ISNUMBER(N118),ISNUMBER(O118)),IF(N118&gt;=Engagement!$C$45,IF(O118&gt;=Engagement!$C$45,"Invest","Migrate"),IF(O118&gt;=Engagement!$C$45,"Tolerate","Eliminate")),"")</f>
        <v/>
      </c>
      <c r="Q118" s="87" t="str">
        <f t="shared" ca="1" si="3"/>
        <v/>
      </c>
      <c r="R118" s="22"/>
      <c r="S118" s="44"/>
      <c r="T118" s="22"/>
      <c r="U118" s="22"/>
    </row>
    <row r="119" spans="1:21" ht="14" x14ac:dyDescent="0.15">
      <c r="A119" s="43" t="s">
        <v>2474</v>
      </c>
      <c r="B119" s="22"/>
      <c r="C119" s="22"/>
      <c r="D119" s="22"/>
      <c r="E119" s="22"/>
      <c r="F119" s="22"/>
      <c r="G119" s="22"/>
      <c r="H119" s="22"/>
      <c r="I119" s="61"/>
      <c r="J119" s="44"/>
      <c r="K119" s="75"/>
      <c r="L119" s="45"/>
      <c r="M119" s="44"/>
      <c r="N119" s="44"/>
      <c r="O119" s="44"/>
      <c r="P119" s="57" t="str">
        <f>IF(AND(ISNUMBER(N119),ISNUMBER(O119)),IF(N119&gt;=Engagement!$C$45,IF(O119&gt;=Engagement!$C$45,"Invest","Migrate"),IF(O119&gt;=Engagement!$C$45,"Tolerate","Eliminate")),"")</f>
        <v/>
      </c>
      <c r="Q119" s="87" t="str">
        <f t="shared" ca="1" si="3"/>
        <v/>
      </c>
      <c r="R119" s="22"/>
      <c r="S119" s="44"/>
      <c r="T119" s="22"/>
      <c r="U119" s="22"/>
    </row>
    <row r="120" spans="1:21" ht="14" x14ac:dyDescent="0.15">
      <c r="A120" s="43" t="s">
        <v>2475</v>
      </c>
      <c r="B120" s="22"/>
      <c r="C120" s="22"/>
      <c r="D120" s="22"/>
      <c r="E120" s="22"/>
      <c r="F120" s="22"/>
      <c r="G120" s="22"/>
      <c r="H120" s="22"/>
      <c r="I120" s="61"/>
      <c r="J120" s="44"/>
      <c r="K120" s="75"/>
      <c r="L120" s="45"/>
      <c r="M120" s="44"/>
      <c r="N120" s="44"/>
      <c r="O120" s="44"/>
      <c r="P120" s="57" t="str">
        <f>IF(AND(ISNUMBER(N120),ISNUMBER(O120)),IF(N120&gt;=Engagement!$C$45,IF(O120&gt;=Engagement!$C$45,"Invest","Migrate"),IF(O120&gt;=Engagement!$C$45,"Tolerate","Eliminate")),"")</f>
        <v/>
      </c>
      <c r="Q120" s="87" t="str">
        <f t="shared" ca="1" si="3"/>
        <v/>
      </c>
      <c r="R120" s="22"/>
      <c r="S120" s="44"/>
      <c r="T120" s="22"/>
      <c r="U120" s="22"/>
    </row>
    <row r="121" spans="1:21" ht="14" x14ac:dyDescent="0.15">
      <c r="A121" s="43" t="s">
        <v>2476</v>
      </c>
      <c r="B121" s="22"/>
      <c r="C121" s="22"/>
      <c r="D121" s="22"/>
      <c r="E121" s="22"/>
      <c r="F121" s="22"/>
      <c r="G121" s="22"/>
      <c r="H121" s="22"/>
      <c r="I121" s="61"/>
      <c r="J121" s="44"/>
      <c r="K121" s="75"/>
      <c r="L121" s="45"/>
      <c r="M121" s="44"/>
      <c r="N121" s="44"/>
      <c r="O121" s="44"/>
      <c r="P121" s="57" t="str">
        <f>IF(AND(ISNUMBER(N121),ISNUMBER(O121)),IF(N121&gt;=Engagement!$C$45,IF(O121&gt;=Engagement!$C$45,"Invest","Migrate"),IF(O121&gt;=Engagement!$C$45,"Tolerate","Eliminate")),"")</f>
        <v/>
      </c>
      <c r="Q121" s="87" t="str">
        <f t="shared" ca="1" si="3"/>
        <v/>
      </c>
      <c r="R121" s="22"/>
      <c r="S121" s="44"/>
      <c r="T121" s="22"/>
      <c r="U121" s="22"/>
    </row>
    <row r="122" spans="1:21" ht="14" x14ac:dyDescent="0.15">
      <c r="A122" s="43" t="s">
        <v>2477</v>
      </c>
      <c r="B122" s="22"/>
      <c r="C122" s="22"/>
      <c r="D122" s="22"/>
      <c r="E122" s="22"/>
      <c r="F122" s="22"/>
      <c r="G122" s="22"/>
      <c r="H122" s="22"/>
      <c r="I122" s="61"/>
      <c r="J122" s="44"/>
      <c r="K122" s="75"/>
      <c r="L122" s="45"/>
      <c r="M122" s="44"/>
      <c r="N122" s="44"/>
      <c r="O122" s="44"/>
      <c r="P122" s="57" t="str">
        <f>IF(AND(ISNUMBER(N122),ISNUMBER(O122)),IF(N122&gt;=Engagement!$C$45,IF(O122&gt;=Engagement!$C$45,"Invest","Migrate"),IF(O122&gt;=Engagement!$C$45,"Tolerate","Eliminate")),"")</f>
        <v/>
      </c>
      <c r="Q122" s="87" t="str">
        <f t="shared" ca="1" si="3"/>
        <v/>
      </c>
      <c r="R122" s="22"/>
      <c r="S122" s="44"/>
      <c r="T122" s="22"/>
      <c r="U122" s="22"/>
    </row>
    <row r="123" spans="1:21" ht="14" x14ac:dyDescent="0.15">
      <c r="A123" s="43" t="s">
        <v>2478</v>
      </c>
      <c r="B123" s="22"/>
      <c r="C123" s="22"/>
      <c r="D123" s="22"/>
      <c r="E123" s="22"/>
      <c r="F123" s="22"/>
      <c r="G123" s="22"/>
      <c r="H123" s="22"/>
      <c r="I123" s="61"/>
      <c r="J123" s="44"/>
      <c r="K123" s="75"/>
      <c r="L123" s="45"/>
      <c r="M123" s="44"/>
      <c r="N123" s="44"/>
      <c r="O123" s="44"/>
      <c r="P123" s="57" t="str">
        <f>IF(AND(ISNUMBER(N123),ISNUMBER(O123)),IF(N123&gt;=Engagement!$C$45,IF(O123&gt;=Engagement!$C$45,"Invest","Migrate"),IF(O123&gt;=Engagement!$C$45,"Tolerate","Eliminate")),"")</f>
        <v/>
      </c>
      <c r="Q123" s="87" t="str">
        <f t="shared" ca="1" si="3"/>
        <v/>
      </c>
      <c r="R123" s="22"/>
      <c r="S123" s="44"/>
      <c r="T123" s="22"/>
      <c r="U123" s="22"/>
    </row>
    <row r="124" spans="1:21" ht="14" x14ac:dyDescent="0.15">
      <c r="A124" s="43" t="s">
        <v>2479</v>
      </c>
      <c r="B124" s="22"/>
      <c r="C124" s="22"/>
      <c r="D124" s="22"/>
      <c r="E124" s="22"/>
      <c r="F124" s="22"/>
      <c r="G124" s="22"/>
      <c r="H124" s="22"/>
      <c r="I124" s="61"/>
      <c r="J124" s="44"/>
      <c r="K124" s="75"/>
      <c r="L124" s="45"/>
      <c r="M124" s="44"/>
      <c r="N124" s="44"/>
      <c r="O124" s="44"/>
      <c r="P124" s="57" t="str">
        <f>IF(AND(ISNUMBER(N124),ISNUMBER(O124)),IF(N124&gt;=Engagement!$C$45,IF(O124&gt;=Engagement!$C$45,"Invest","Migrate"),IF(O124&gt;=Engagement!$C$45,"Tolerate","Eliminate")),"")</f>
        <v/>
      </c>
      <c r="Q124" s="87" t="str">
        <f t="shared" ca="1" si="3"/>
        <v/>
      </c>
      <c r="R124" s="22"/>
      <c r="S124" s="44"/>
      <c r="T124" s="22"/>
      <c r="U124" s="22"/>
    </row>
    <row r="125" spans="1:21" ht="14" x14ac:dyDescent="0.15">
      <c r="A125" s="43" t="s">
        <v>2480</v>
      </c>
      <c r="B125" s="22"/>
      <c r="C125" s="22"/>
      <c r="D125" s="22"/>
      <c r="E125" s="22"/>
      <c r="F125" s="22"/>
      <c r="G125" s="22"/>
      <c r="H125" s="22"/>
      <c r="I125" s="61"/>
      <c r="J125" s="44"/>
      <c r="K125" s="75"/>
      <c r="L125" s="45"/>
      <c r="M125" s="44"/>
      <c r="N125" s="44"/>
      <c r="O125" s="44"/>
      <c r="P125" s="57" t="str">
        <f>IF(AND(ISNUMBER(N125),ISNUMBER(O125)),IF(N125&gt;=Engagement!$C$45,IF(O125&gt;=Engagement!$C$45,"Invest","Migrate"),IF(O125&gt;=Engagement!$C$45,"Tolerate","Eliminate")),"")</f>
        <v/>
      </c>
      <c r="Q125" s="87" t="str">
        <f t="shared" ca="1" si="3"/>
        <v/>
      </c>
      <c r="R125" s="22"/>
      <c r="S125" s="44"/>
      <c r="T125" s="22"/>
      <c r="U125" s="22"/>
    </row>
    <row r="126" spans="1:21" ht="14" x14ac:dyDescent="0.15">
      <c r="A126" s="43" t="s">
        <v>2481</v>
      </c>
      <c r="B126" s="22"/>
      <c r="C126" s="22"/>
      <c r="D126" s="22"/>
      <c r="E126" s="22"/>
      <c r="F126" s="22"/>
      <c r="G126" s="22"/>
      <c r="H126" s="22"/>
      <c r="I126" s="61"/>
      <c r="J126" s="44"/>
      <c r="K126" s="75"/>
      <c r="L126" s="45"/>
      <c r="M126" s="44"/>
      <c r="N126" s="44"/>
      <c r="O126" s="44"/>
      <c r="P126" s="57" t="str">
        <f>IF(AND(ISNUMBER(N126),ISNUMBER(O126)),IF(N126&gt;=Engagement!$C$45,IF(O126&gt;=Engagement!$C$45,"Invest","Migrate"),IF(O126&gt;=Engagement!$C$45,"Tolerate","Eliminate")),"")</f>
        <v/>
      </c>
      <c r="Q126" s="87" t="str">
        <f t="shared" ca="1" si="3"/>
        <v/>
      </c>
      <c r="R126" s="22"/>
      <c r="S126" s="44"/>
      <c r="T126" s="22"/>
      <c r="U126" s="22"/>
    </row>
    <row r="127" spans="1:21" ht="14" x14ac:dyDescent="0.15">
      <c r="A127" s="43" t="s">
        <v>2482</v>
      </c>
      <c r="B127" s="22"/>
      <c r="C127" s="22"/>
      <c r="D127" s="22"/>
      <c r="E127" s="22"/>
      <c r="F127" s="22"/>
      <c r="G127" s="22"/>
      <c r="H127" s="22"/>
      <c r="I127" s="61"/>
      <c r="J127" s="44"/>
      <c r="K127" s="75"/>
      <c r="L127" s="45"/>
      <c r="M127" s="44"/>
      <c r="N127" s="44"/>
      <c r="O127" s="44"/>
      <c r="P127" s="57" t="str">
        <f>IF(AND(ISNUMBER(N127),ISNUMBER(O127)),IF(N127&gt;=Engagement!$C$45,IF(O127&gt;=Engagement!$C$45,"Invest","Migrate"),IF(O127&gt;=Engagement!$C$45,"Tolerate","Eliminate")),"")</f>
        <v/>
      </c>
      <c r="Q127" s="87" t="str">
        <f t="shared" ca="1" si="3"/>
        <v/>
      </c>
      <c r="R127" s="22"/>
      <c r="S127" s="44"/>
      <c r="T127" s="22"/>
      <c r="U127" s="22"/>
    </row>
    <row r="128" spans="1:21" ht="14" x14ac:dyDescent="0.15">
      <c r="A128" s="43" t="s">
        <v>2483</v>
      </c>
      <c r="B128" s="22"/>
      <c r="C128" s="22"/>
      <c r="D128" s="22"/>
      <c r="E128" s="22"/>
      <c r="F128" s="22"/>
      <c r="G128" s="22"/>
      <c r="H128" s="22"/>
      <c r="I128" s="61"/>
      <c r="J128" s="44"/>
      <c r="K128" s="75"/>
      <c r="L128" s="45"/>
      <c r="M128" s="44"/>
      <c r="N128" s="44"/>
      <c r="O128" s="44"/>
      <c r="P128" s="57" t="str">
        <f>IF(AND(ISNUMBER(N128),ISNUMBER(O128)),IF(N128&gt;=Engagement!$C$45,IF(O128&gt;=Engagement!$C$45,"Invest","Migrate"),IF(O128&gt;=Engagement!$C$45,"Tolerate","Eliminate")),"")</f>
        <v/>
      </c>
      <c r="Q128" s="87" t="str">
        <f t="shared" ca="1" si="3"/>
        <v/>
      </c>
      <c r="R128" s="22"/>
      <c r="S128" s="44"/>
      <c r="T128" s="22"/>
      <c r="U128" s="22"/>
    </row>
    <row r="129" spans="1:21" ht="14" x14ac:dyDescent="0.15">
      <c r="A129" s="43" t="s">
        <v>2484</v>
      </c>
      <c r="B129" s="22"/>
      <c r="C129" s="22"/>
      <c r="D129" s="22"/>
      <c r="E129" s="22"/>
      <c r="F129" s="22"/>
      <c r="G129" s="22"/>
      <c r="H129" s="22"/>
      <c r="I129" s="61"/>
      <c r="J129" s="44"/>
      <c r="K129" s="75"/>
      <c r="L129" s="45"/>
      <c r="M129" s="44"/>
      <c r="N129" s="44"/>
      <c r="O129" s="44"/>
      <c r="P129" s="57" t="str">
        <f>IF(AND(ISNUMBER(N129),ISNUMBER(O129)),IF(N129&gt;=Engagement!$C$45,IF(O129&gt;=Engagement!$C$45,"Invest","Migrate"),IF(O129&gt;=Engagement!$C$45,"Tolerate","Eliminate")),"")</f>
        <v/>
      </c>
      <c r="Q129" s="87" t="str">
        <f t="shared" ca="1" si="3"/>
        <v/>
      </c>
      <c r="R129" s="22"/>
      <c r="S129" s="44"/>
      <c r="T129" s="22"/>
      <c r="U129" s="22"/>
    </row>
    <row r="130" spans="1:21" ht="14" x14ac:dyDescent="0.15">
      <c r="A130" s="43" t="s">
        <v>2485</v>
      </c>
      <c r="B130" s="22"/>
      <c r="C130" s="22"/>
      <c r="D130" s="22"/>
      <c r="E130" s="22"/>
      <c r="F130" s="22"/>
      <c r="G130" s="22"/>
      <c r="H130" s="22"/>
      <c r="I130" s="61"/>
      <c r="J130" s="44"/>
      <c r="K130" s="75"/>
      <c r="L130" s="45"/>
      <c r="M130" s="44"/>
      <c r="N130" s="44"/>
      <c r="O130" s="44"/>
      <c r="P130" s="57" t="str">
        <f>IF(AND(ISNUMBER(N130),ISNUMBER(O130)),IF(N130&gt;=Engagement!$C$45,IF(O130&gt;=Engagement!$C$45,"Invest","Migrate"),IF(O130&gt;=Engagement!$C$45,"Tolerate","Eliminate")),"")</f>
        <v/>
      </c>
      <c r="Q130" s="87" t="str">
        <f t="shared" ca="1" si="3"/>
        <v/>
      </c>
      <c r="R130" s="22"/>
      <c r="S130" s="44"/>
      <c r="T130" s="22"/>
      <c r="U130" s="22"/>
    </row>
    <row r="131" spans="1:21" ht="14" x14ac:dyDescent="0.15">
      <c r="A131" s="43" t="s">
        <v>2486</v>
      </c>
      <c r="B131" s="22"/>
      <c r="C131" s="22"/>
      <c r="D131" s="22"/>
      <c r="E131" s="22"/>
      <c r="F131" s="22"/>
      <c r="G131" s="22"/>
      <c r="H131" s="22"/>
      <c r="I131" s="61"/>
      <c r="J131" s="44"/>
      <c r="K131" s="75"/>
      <c r="L131" s="45"/>
      <c r="M131" s="44"/>
      <c r="N131" s="44"/>
      <c r="O131" s="44"/>
      <c r="P131" s="57" t="str">
        <f>IF(AND(ISNUMBER(N131),ISNUMBER(O131)),IF(N131&gt;=Engagement!$C$45,IF(O131&gt;=Engagement!$C$45,"Invest","Migrate"),IF(O131&gt;=Engagement!$C$45,"Tolerate","Eliminate")),"")</f>
        <v/>
      </c>
      <c r="Q131" s="87" t="str">
        <f t="shared" ca="1" si="3"/>
        <v/>
      </c>
      <c r="R131" s="22"/>
      <c r="S131" s="44"/>
      <c r="T131" s="22"/>
      <c r="U131" s="22"/>
    </row>
    <row r="132" spans="1:21" ht="14" x14ac:dyDescent="0.15">
      <c r="A132" s="43" t="s">
        <v>2487</v>
      </c>
      <c r="B132" s="22"/>
      <c r="C132" s="22"/>
      <c r="D132" s="22"/>
      <c r="E132" s="22"/>
      <c r="F132" s="22"/>
      <c r="G132" s="22"/>
      <c r="H132" s="22"/>
      <c r="I132" s="61"/>
      <c r="J132" s="44"/>
      <c r="K132" s="75"/>
      <c r="L132" s="45"/>
      <c r="M132" s="44"/>
      <c r="N132" s="44"/>
      <c r="O132" s="44"/>
      <c r="P132" s="57" t="str">
        <f>IF(AND(ISNUMBER(N132),ISNUMBER(O132)),IF(N132&gt;=Engagement!$C$45,IF(O132&gt;=Engagement!$C$45,"Invest","Migrate"),IF(O132&gt;=Engagement!$C$45,"Tolerate","Eliminate")),"")</f>
        <v/>
      </c>
      <c r="Q132" s="87" t="str">
        <f t="shared" ca="1" si="3"/>
        <v/>
      </c>
      <c r="R132" s="22"/>
      <c r="S132" s="44"/>
      <c r="T132" s="22"/>
      <c r="U132" s="22"/>
    </row>
    <row r="133" spans="1:21" ht="14" x14ac:dyDescent="0.15">
      <c r="A133" s="43" t="s">
        <v>2488</v>
      </c>
      <c r="B133" s="22"/>
      <c r="C133" s="22"/>
      <c r="D133" s="22"/>
      <c r="E133" s="22"/>
      <c r="F133" s="22"/>
      <c r="G133" s="22"/>
      <c r="H133" s="22"/>
      <c r="I133" s="61"/>
      <c r="J133" s="44"/>
      <c r="K133" s="75"/>
      <c r="L133" s="45"/>
      <c r="M133" s="44"/>
      <c r="N133" s="44"/>
      <c r="O133" s="44"/>
      <c r="P133" s="57" t="str">
        <f>IF(AND(ISNUMBER(N133),ISNUMBER(O133)),IF(N133&gt;=Engagement!$C$45,IF(O133&gt;=Engagement!$C$45,"Invest","Migrate"),IF(O133&gt;=Engagement!$C$45,"Tolerate","Eliminate")),"")</f>
        <v/>
      </c>
      <c r="Q133" s="87" t="str">
        <f t="shared" ca="1" si="3"/>
        <v/>
      </c>
      <c r="R133" s="22"/>
      <c r="S133" s="44"/>
      <c r="T133" s="22"/>
      <c r="U133" s="22"/>
    </row>
    <row r="134" spans="1:21" ht="14" x14ac:dyDescent="0.15">
      <c r="A134" s="43" t="s">
        <v>2489</v>
      </c>
      <c r="B134" s="22"/>
      <c r="C134" s="22"/>
      <c r="D134" s="22"/>
      <c r="E134" s="22"/>
      <c r="F134" s="22"/>
      <c r="G134" s="22"/>
      <c r="H134" s="22"/>
      <c r="I134" s="61"/>
      <c r="J134" s="44"/>
      <c r="K134" s="75"/>
      <c r="L134" s="45"/>
      <c r="M134" s="44"/>
      <c r="N134" s="44"/>
      <c r="O134" s="44"/>
      <c r="P134" s="57" t="str">
        <f>IF(AND(ISNUMBER(N134),ISNUMBER(O134)),IF(N134&gt;=Engagement!$C$45,IF(O134&gt;=Engagement!$C$45,"Invest","Migrate"),IF(O134&gt;=Engagement!$C$45,"Tolerate","Eliminate")),"")</f>
        <v/>
      </c>
      <c r="Q134" s="87" t="str">
        <f t="shared" ref="Q134:Q156" ca="1" si="4">IF(ISNUMBER(L134),L134-TODAY(),"")</f>
        <v/>
      </c>
      <c r="R134" s="22"/>
      <c r="S134" s="44"/>
      <c r="T134" s="22"/>
      <c r="U134" s="22"/>
    </row>
    <row r="135" spans="1:21" ht="14" x14ac:dyDescent="0.15">
      <c r="A135" s="43" t="s">
        <v>2490</v>
      </c>
      <c r="B135" s="22"/>
      <c r="C135" s="22"/>
      <c r="D135" s="22"/>
      <c r="E135" s="22"/>
      <c r="F135" s="22"/>
      <c r="G135" s="22"/>
      <c r="H135" s="22"/>
      <c r="I135" s="61"/>
      <c r="J135" s="44"/>
      <c r="K135" s="75"/>
      <c r="L135" s="45"/>
      <c r="M135" s="44"/>
      <c r="N135" s="44"/>
      <c r="O135" s="44"/>
      <c r="P135" s="57" t="str">
        <f>IF(AND(ISNUMBER(N135),ISNUMBER(O135)),IF(N135&gt;=Engagement!$C$45,IF(O135&gt;=Engagement!$C$45,"Invest","Migrate"),IF(O135&gt;=Engagement!$C$45,"Tolerate","Eliminate")),"")</f>
        <v/>
      </c>
      <c r="Q135" s="87" t="str">
        <f t="shared" ca="1" si="4"/>
        <v/>
      </c>
      <c r="R135" s="22"/>
      <c r="S135" s="44"/>
      <c r="T135" s="22"/>
      <c r="U135" s="22"/>
    </row>
    <row r="136" spans="1:21" ht="14" x14ac:dyDescent="0.15">
      <c r="A136" s="43" t="s">
        <v>2491</v>
      </c>
      <c r="B136" s="22"/>
      <c r="C136" s="22"/>
      <c r="D136" s="22"/>
      <c r="E136" s="22"/>
      <c r="F136" s="22"/>
      <c r="G136" s="22"/>
      <c r="H136" s="22"/>
      <c r="I136" s="61"/>
      <c r="J136" s="44"/>
      <c r="K136" s="75"/>
      <c r="L136" s="45"/>
      <c r="M136" s="44"/>
      <c r="N136" s="44"/>
      <c r="O136" s="44"/>
      <c r="P136" s="57" t="str">
        <f>IF(AND(ISNUMBER(N136),ISNUMBER(O136)),IF(N136&gt;=Engagement!$C$45,IF(O136&gt;=Engagement!$C$45,"Invest","Migrate"),IF(O136&gt;=Engagement!$C$45,"Tolerate","Eliminate")),"")</f>
        <v/>
      </c>
      <c r="Q136" s="87" t="str">
        <f t="shared" ca="1" si="4"/>
        <v/>
      </c>
      <c r="R136" s="22"/>
      <c r="S136" s="44"/>
      <c r="T136" s="22"/>
      <c r="U136" s="22"/>
    </row>
    <row r="137" spans="1:21" ht="14" x14ac:dyDescent="0.15">
      <c r="A137" s="43" t="s">
        <v>2492</v>
      </c>
      <c r="B137" s="22"/>
      <c r="C137" s="22"/>
      <c r="D137" s="22"/>
      <c r="E137" s="22"/>
      <c r="F137" s="22"/>
      <c r="G137" s="22"/>
      <c r="H137" s="22"/>
      <c r="I137" s="61"/>
      <c r="J137" s="44"/>
      <c r="K137" s="75"/>
      <c r="L137" s="45"/>
      <c r="M137" s="44"/>
      <c r="N137" s="44"/>
      <c r="O137" s="44"/>
      <c r="P137" s="57" t="str">
        <f>IF(AND(ISNUMBER(N137),ISNUMBER(O137)),IF(N137&gt;=Engagement!$C$45,IF(O137&gt;=Engagement!$C$45,"Invest","Migrate"),IF(O137&gt;=Engagement!$C$45,"Tolerate","Eliminate")),"")</f>
        <v/>
      </c>
      <c r="Q137" s="87" t="str">
        <f t="shared" ca="1" si="4"/>
        <v/>
      </c>
      <c r="R137" s="22"/>
      <c r="S137" s="44"/>
      <c r="T137" s="22"/>
      <c r="U137" s="22"/>
    </row>
    <row r="138" spans="1:21" ht="14" x14ac:dyDescent="0.15">
      <c r="A138" s="43" t="s">
        <v>2493</v>
      </c>
      <c r="B138" s="22"/>
      <c r="C138" s="22"/>
      <c r="D138" s="22"/>
      <c r="E138" s="22"/>
      <c r="F138" s="22"/>
      <c r="G138" s="22"/>
      <c r="H138" s="22"/>
      <c r="I138" s="61"/>
      <c r="J138" s="44"/>
      <c r="K138" s="75"/>
      <c r="L138" s="45"/>
      <c r="M138" s="44"/>
      <c r="N138" s="44"/>
      <c r="O138" s="44"/>
      <c r="P138" s="57" t="str">
        <f>IF(AND(ISNUMBER(N138),ISNUMBER(O138)),IF(N138&gt;=Engagement!$C$45,IF(O138&gt;=Engagement!$C$45,"Invest","Migrate"),IF(O138&gt;=Engagement!$C$45,"Tolerate","Eliminate")),"")</f>
        <v/>
      </c>
      <c r="Q138" s="87" t="str">
        <f t="shared" ca="1" si="4"/>
        <v/>
      </c>
      <c r="R138" s="22"/>
      <c r="S138" s="44"/>
      <c r="T138" s="22"/>
      <c r="U138" s="22"/>
    </row>
    <row r="139" spans="1:21" ht="14" x14ac:dyDescent="0.15">
      <c r="A139" s="43" t="s">
        <v>2494</v>
      </c>
      <c r="B139" s="22"/>
      <c r="C139" s="22"/>
      <c r="D139" s="22"/>
      <c r="E139" s="22"/>
      <c r="F139" s="22"/>
      <c r="G139" s="22"/>
      <c r="H139" s="22"/>
      <c r="I139" s="61"/>
      <c r="J139" s="44"/>
      <c r="K139" s="75"/>
      <c r="L139" s="45"/>
      <c r="M139" s="44"/>
      <c r="N139" s="44"/>
      <c r="O139" s="44"/>
      <c r="P139" s="57" t="str">
        <f>IF(AND(ISNUMBER(N139),ISNUMBER(O139)),IF(N139&gt;=Engagement!$C$45,IF(O139&gt;=Engagement!$C$45,"Invest","Migrate"),IF(O139&gt;=Engagement!$C$45,"Tolerate","Eliminate")),"")</f>
        <v/>
      </c>
      <c r="Q139" s="87" t="str">
        <f t="shared" ca="1" si="4"/>
        <v/>
      </c>
      <c r="R139" s="22"/>
      <c r="S139" s="44"/>
      <c r="T139" s="22"/>
      <c r="U139" s="22"/>
    </row>
    <row r="140" spans="1:21" ht="14" x14ac:dyDescent="0.15">
      <c r="A140" s="43" t="s">
        <v>2495</v>
      </c>
      <c r="B140" s="22"/>
      <c r="C140" s="22"/>
      <c r="D140" s="22"/>
      <c r="E140" s="22"/>
      <c r="F140" s="22"/>
      <c r="G140" s="22"/>
      <c r="H140" s="22"/>
      <c r="I140" s="61"/>
      <c r="J140" s="44"/>
      <c r="K140" s="75"/>
      <c r="L140" s="45"/>
      <c r="M140" s="44"/>
      <c r="N140" s="44"/>
      <c r="O140" s="44"/>
      <c r="P140" s="57" t="str">
        <f>IF(AND(ISNUMBER(N140),ISNUMBER(O140)),IF(N140&gt;=Engagement!$C$45,IF(O140&gt;=Engagement!$C$45,"Invest","Migrate"),IF(O140&gt;=Engagement!$C$45,"Tolerate","Eliminate")),"")</f>
        <v/>
      </c>
      <c r="Q140" s="87" t="str">
        <f t="shared" ca="1" si="4"/>
        <v/>
      </c>
      <c r="R140" s="22"/>
      <c r="S140" s="44"/>
      <c r="T140" s="22"/>
      <c r="U140" s="22"/>
    </row>
    <row r="141" spans="1:21" ht="14" x14ac:dyDescent="0.15">
      <c r="A141" s="43" t="s">
        <v>2496</v>
      </c>
      <c r="B141" s="22"/>
      <c r="C141" s="22"/>
      <c r="D141" s="22"/>
      <c r="E141" s="22"/>
      <c r="F141" s="22"/>
      <c r="G141" s="22"/>
      <c r="H141" s="22"/>
      <c r="I141" s="61"/>
      <c r="J141" s="44"/>
      <c r="K141" s="75"/>
      <c r="L141" s="45"/>
      <c r="M141" s="44"/>
      <c r="N141" s="44"/>
      <c r="O141" s="44"/>
      <c r="P141" s="57" t="str">
        <f>IF(AND(ISNUMBER(N141),ISNUMBER(O141)),IF(N141&gt;=Engagement!$C$45,IF(O141&gt;=Engagement!$C$45,"Invest","Migrate"),IF(O141&gt;=Engagement!$C$45,"Tolerate","Eliminate")),"")</f>
        <v/>
      </c>
      <c r="Q141" s="87" t="str">
        <f t="shared" ca="1" si="4"/>
        <v/>
      </c>
      <c r="R141" s="22"/>
      <c r="S141" s="44"/>
      <c r="T141" s="22"/>
      <c r="U141" s="22"/>
    </row>
    <row r="142" spans="1:21" ht="14" x14ac:dyDescent="0.15">
      <c r="A142" s="43" t="s">
        <v>2497</v>
      </c>
      <c r="B142" s="22"/>
      <c r="C142" s="22"/>
      <c r="D142" s="22"/>
      <c r="E142" s="22"/>
      <c r="F142" s="22"/>
      <c r="G142" s="22"/>
      <c r="H142" s="22"/>
      <c r="I142" s="61"/>
      <c r="J142" s="44"/>
      <c r="K142" s="75"/>
      <c r="L142" s="45"/>
      <c r="M142" s="44"/>
      <c r="N142" s="44"/>
      <c r="O142" s="44"/>
      <c r="P142" s="57" t="str">
        <f>IF(AND(ISNUMBER(N142),ISNUMBER(O142)),IF(N142&gt;=Engagement!$C$45,IF(O142&gt;=Engagement!$C$45,"Invest","Migrate"),IF(O142&gt;=Engagement!$C$45,"Tolerate","Eliminate")),"")</f>
        <v/>
      </c>
      <c r="Q142" s="87" t="str">
        <f t="shared" ca="1" si="4"/>
        <v/>
      </c>
      <c r="R142" s="22"/>
      <c r="S142" s="44"/>
      <c r="T142" s="22"/>
      <c r="U142" s="22"/>
    </row>
    <row r="143" spans="1:21" ht="14" x14ac:dyDescent="0.15">
      <c r="A143" s="43" t="s">
        <v>2498</v>
      </c>
      <c r="B143" s="22"/>
      <c r="C143" s="22"/>
      <c r="D143" s="22"/>
      <c r="E143" s="22"/>
      <c r="F143" s="22"/>
      <c r="G143" s="22"/>
      <c r="H143" s="22"/>
      <c r="I143" s="61"/>
      <c r="J143" s="44"/>
      <c r="K143" s="75"/>
      <c r="L143" s="45"/>
      <c r="M143" s="44"/>
      <c r="N143" s="44"/>
      <c r="O143" s="44"/>
      <c r="P143" s="57" t="str">
        <f>IF(AND(ISNUMBER(N143),ISNUMBER(O143)),IF(N143&gt;=Engagement!$C$45,IF(O143&gt;=Engagement!$C$45,"Invest","Migrate"),IF(O143&gt;=Engagement!$C$45,"Tolerate","Eliminate")),"")</f>
        <v/>
      </c>
      <c r="Q143" s="87" t="str">
        <f t="shared" ca="1" si="4"/>
        <v/>
      </c>
      <c r="R143" s="22"/>
      <c r="S143" s="44"/>
      <c r="T143" s="22"/>
      <c r="U143" s="22"/>
    </row>
    <row r="144" spans="1:21" ht="14" x14ac:dyDescent="0.15">
      <c r="A144" s="43" t="s">
        <v>2499</v>
      </c>
      <c r="B144" s="22"/>
      <c r="C144" s="22"/>
      <c r="D144" s="22"/>
      <c r="E144" s="22"/>
      <c r="F144" s="22"/>
      <c r="G144" s="22"/>
      <c r="H144" s="22"/>
      <c r="I144" s="61"/>
      <c r="J144" s="44"/>
      <c r="K144" s="75"/>
      <c r="L144" s="45"/>
      <c r="M144" s="44"/>
      <c r="N144" s="44"/>
      <c r="O144" s="44"/>
      <c r="P144" s="57" t="str">
        <f>IF(AND(ISNUMBER(N144),ISNUMBER(O144)),IF(N144&gt;=Engagement!$C$45,IF(O144&gt;=Engagement!$C$45,"Invest","Migrate"),IF(O144&gt;=Engagement!$C$45,"Tolerate","Eliminate")),"")</f>
        <v/>
      </c>
      <c r="Q144" s="87" t="str">
        <f t="shared" ca="1" si="4"/>
        <v/>
      </c>
      <c r="R144" s="22"/>
      <c r="S144" s="44"/>
      <c r="T144" s="22"/>
      <c r="U144" s="22"/>
    </row>
    <row r="145" spans="1:21" ht="14" x14ac:dyDescent="0.15">
      <c r="A145" s="43" t="s">
        <v>2500</v>
      </c>
      <c r="B145" s="22"/>
      <c r="C145" s="22"/>
      <c r="D145" s="22"/>
      <c r="E145" s="22"/>
      <c r="F145" s="22"/>
      <c r="G145" s="22"/>
      <c r="H145" s="22"/>
      <c r="I145" s="61"/>
      <c r="J145" s="44"/>
      <c r="K145" s="75"/>
      <c r="L145" s="45"/>
      <c r="M145" s="44"/>
      <c r="N145" s="44"/>
      <c r="O145" s="44"/>
      <c r="P145" s="57" t="str">
        <f>IF(AND(ISNUMBER(N145),ISNUMBER(O145)),IF(N145&gt;=Engagement!$C$45,IF(O145&gt;=Engagement!$C$45,"Invest","Migrate"),IF(O145&gt;=Engagement!$C$45,"Tolerate","Eliminate")),"")</f>
        <v/>
      </c>
      <c r="Q145" s="87" t="str">
        <f t="shared" ca="1" si="4"/>
        <v/>
      </c>
      <c r="R145" s="22"/>
      <c r="S145" s="44"/>
      <c r="T145" s="22"/>
      <c r="U145" s="22"/>
    </row>
    <row r="146" spans="1:21" ht="14" x14ac:dyDescent="0.15">
      <c r="A146" s="43" t="s">
        <v>2501</v>
      </c>
      <c r="B146" s="22"/>
      <c r="C146" s="22"/>
      <c r="D146" s="22"/>
      <c r="E146" s="22"/>
      <c r="F146" s="22"/>
      <c r="G146" s="22"/>
      <c r="H146" s="22"/>
      <c r="I146" s="61"/>
      <c r="J146" s="44"/>
      <c r="K146" s="75"/>
      <c r="L146" s="45"/>
      <c r="M146" s="44"/>
      <c r="N146" s="44"/>
      <c r="O146" s="44"/>
      <c r="P146" s="57" t="str">
        <f>IF(AND(ISNUMBER(N146),ISNUMBER(O146)),IF(N146&gt;=Engagement!$C$45,IF(O146&gt;=Engagement!$C$45,"Invest","Migrate"),IF(O146&gt;=Engagement!$C$45,"Tolerate","Eliminate")),"")</f>
        <v/>
      </c>
      <c r="Q146" s="87" t="str">
        <f t="shared" ca="1" si="4"/>
        <v/>
      </c>
      <c r="R146" s="22"/>
      <c r="S146" s="44"/>
      <c r="T146" s="22"/>
      <c r="U146" s="22"/>
    </row>
    <row r="147" spans="1:21" ht="14" x14ac:dyDescent="0.15">
      <c r="A147" s="43" t="s">
        <v>2502</v>
      </c>
      <c r="B147" s="22"/>
      <c r="C147" s="22"/>
      <c r="D147" s="22"/>
      <c r="E147" s="22"/>
      <c r="F147" s="22"/>
      <c r="G147" s="22"/>
      <c r="H147" s="22"/>
      <c r="I147" s="61"/>
      <c r="J147" s="44"/>
      <c r="K147" s="75"/>
      <c r="L147" s="45"/>
      <c r="M147" s="44"/>
      <c r="N147" s="44"/>
      <c r="O147" s="44"/>
      <c r="P147" s="57" t="str">
        <f>IF(AND(ISNUMBER(N147),ISNUMBER(O147)),IF(N147&gt;=Engagement!$C$45,IF(O147&gt;=Engagement!$C$45,"Invest","Migrate"),IF(O147&gt;=Engagement!$C$45,"Tolerate","Eliminate")),"")</f>
        <v/>
      </c>
      <c r="Q147" s="87" t="str">
        <f t="shared" ca="1" si="4"/>
        <v/>
      </c>
      <c r="R147" s="22"/>
      <c r="S147" s="44"/>
      <c r="T147" s="22"/>
      <c r="U147" s="22"/>
    </row>
    <row r="148" spans="1:21" ht="14" x14ac:dyDescent="0.15">
      <c r="A148" s="43" t="s">
        <v>2503</v>
      </c>
      <c r="B148" s="22"/>
      <c r="C148" s="22"/>
      <c r="D148" s="22"/>
      <c r="E148" s="22"/>
      <c r="F148" s="22"/>
      <c r="G148" s="22"/>
      <c r="H148" s="22"/>
      <c r="I148" s="61"/>
      <c r="J148" s="44"/>
      <c r="K148" s="75"/>
      <c r="L148" s="45"/>
      <c r="M148" s="44"/>
      <c r="N148" s="44"/>
      <c r="O148" s="44"/>
      <c r="P148" s="57" t="str">
        <f>IF(AND(ISNUMBER(N148),ISNUMBER(O148)),IF(N148&gt;=Engagement!$C$45,IF(O148&gt;=Engagement!$C$45,"Invest","Migrate"),IF(O148&gt;=Engagement!$C$45,"Tolerate","Eliminate")),"")</f>
        <v/>
      </c>
      <c r="Q148" s="87" t="str">
        <f t="shared" ca="1" si="4"/>
        <v/>
      </c>
      <c r="R148" s="22"/>
      <c r="S148" s="44"/>
      <c r="T148" s="22"/>
      <c r="U148" s="22"/>
    </row>
    <row r="149" spans="1:21" ht="14" x14ac:dyDescent="0.15">
      <c r="A149" s="43" t="s">
        <v>2504</v>
      </c>
      <c r="B149" s="22"/>
      <c r="C149" s="22"/>
      <c r="D149" s="22"/>
      <c r="E149" s="22"/>
      <c r="F149" s="22"/>
      <c r="G149" s="22"/>
      <c r="H149" s="22"/>
      <c r="I149" s="61"/>
      <c r="J149" s="44"/>
      <c r="K149" s="75"/>
      <c r="L149" s="45"/>
      <c r="M149" s="44"/>
      <c r="N149" s="44"/>
      <c r="O149" s="44"/>
      <c r="P149" s="57" t="str">
        <f>IF(AND(ISNUMBER(N149),ISNUMBER(O149)),IF(N149&gt;=Engagement!$C$45,IF(O149&gt;=Engagement!$C$45,"Invest","Migrate"),IF(O149&gt;=Engagement!$C$45,"Tolerate","Eliminate")),"")</f>
        <v/>
      </c>
      <c r="Q149" s="87" t="str">
        <f t="shared" ca="1" si="4"/>
        <v/>
      </c>
      <c r="R149" s="22"/>
      <c r="S149" s="44"/>
      <c r="T149" s="22"/>
      <c r="U149" s="22"/>
    </row>
    <row r="150" spans="1:21" ht="14" x14ac:dyDescent="0.15">
      <c r="A150" s="43" t="s">
        <v>2505</v>
      </c>
      <c r="B150" s="22"/>
      <c r="C150" s="22"/>
      <c r="D150" s="22"/>
      <c r="E150" s="22"/>
      <c r="F150" s="22"/>
      <c r="G150" s="22"/>
      <c r="H150" s="22"/>
      <c r="I150" s="61"/>
      <c r="J150" s="44"/>
      <c r="K150" s="75"/>
      <c r="L150" s="45"/>
      <c r="M150" s="44"/>
      <c r="N150" s="44"/>
      <c r="O150" s="44"/>
      <c r="P150" s="57" t="str">
        <f>IF(AND(ISNUMBER(N150),ISNUMBER(O150)),IF(N150&gt;=Engagement!$C$45,IF(O150&gt;=Engagement!$C$45,"Invest","Migrate"),IF(O150&gt;=Engagement!$C$45,"Tolerate","Eliminate")),"")</f>
        <v/>
      </c>
      <c r="Q150" s="87" t="str">
        <f t="shared" ca="1" si="4"/>
        <v/>
      </c>
      <c r="R150" s="22"/>
      <c r="S150" s="44"/>
      <c r="T150" s="22"/>
      <c r="U150" s="22"/>
    </row>
    <row r="151" spans="1:21" ht="14" x14ac:dyDescent="0.15">
      <c r="A151" s="43" t="s">
        <v>2506</v>
      </c>
      <c r="B151" s="22"/>
      <c r="C151" s="22"/>
      <c r="D151" s="22"/>
      <c r="E151" s="22"/>
      <c r="F151" s="22"/>
      <c r="G151" s="22"/>
      <c r="H151" s="22"/>
      <c r="I151" s="61"/>
      <c r="J151" s="44"/>
      <c r="K151" s="75"/>
      <c r="L151" s="45"/>
      <c r="M151" s="44"/>
      <c r="N151" s="44"/>
      <c r="O151" s="44"/>
      <c r="P151" s="57" t="str">
        <f>IF(AND(ISNUMBER(N151),ISNUMBER(O151)),IF(N151&gt;=Engagement!$C$45,IF(O151&gt;=Engagement!$C$45,"Invest","Migrate"),IF(O151&gt;=Engagement!$C$45,"Tolerate","Eliminate")),"")</f>
        <v/>
      </c>
      <c r="Q151" s="87" t="str">
        <f t="shared" ca="1" si="4"/>
        <v/>
      </c>
      <c r="R151" s="22"/>
      <c r="S151" s="44"/>
      <c r="T151" s="22"/>
      <c r="U151" s="22"/>
    </row>
    <row r="152" spans="1:21" ht="14" x14ac:dyDescent="0.15">
      <c r="A152" s="43" t="s">
        <v>2507</v>
      </c>
      <c r="B152" s="22"/>
      <c r="C152" s="22"/>
      <c r="D152" s="22"/>
      <c r="E152" s="22"/>
      <c r="F152" s="22"/>
      <c r="G152" s="22"/>
      <c r="H152" s="22"/>
      <c r="I152" s="61"/>
      <c r="J152" s="44"/>
      <c r="K152" s="75"/>
      <c r="L152" s="45"/>
      <c r="M152" s="44"/>
      <c r="N152" s="44"/>
      <c r="O152" s="44"/>
      <c r="P152" s="57" t="str">
        <f>IF(AND(ISNUMBER(N152),ISNUMBER(O152)),IF(N152&gt;=Engagement!$C$45,IF(O152&gt;=Engagement!$C$45,"Invest","Migrate"),IF(O152&gt;=Engagement!$C$45,"Tolerate","Eliminate")),"")</f>
        <v/>
      </c>
      <c r="Q152" s="87" t="str">
        <f t="shared" ca="1" si="4"/>
        <v/>
      </c>
      <c r="R152" s="22"/>
      <c r="S152" s="44"/>
      <c r="T152" s="22"/>
      <c r="U152" s="22"/>
    </row>
    <row r="153" spans="1:21" ht="14" x14ac:dyDescent="0.15">
      <c r="A153" s="43" t="s">
        <v>2508</v>
      </c>
      <c r="B153" s="22"/>
      <c r="C153" s="22"/>
      <c r="D153" s="22"/>
      <c r="E153" s="22"/>
      <c r="F153" s="22"/>
      <c r="G153" s="22"/>
      <c r="H153" s="22"/>
      <c r="I153" s="61"/>
      <c r="J153" s="44"/>
      <c r="K153" s="75"/>
      <c r="L153" s="45"/>
      <c r="M153" s="44"/>
      <c r="N153" s="44"/>
      <c r="O153" s="44"/>
      <c r="P153" s="57" t="str">
        <f>IF(AND(ISNUMBER(N153),ISNUMBER(O153)),IF(N153&gt;=Engagement!$C$45,IF(O153&gt;=Engagement!$C$45,"Invest","Migrate"),IF(O153&gt;=Engagement!$C$45,"Tolerate","Eliminate")),"")</f>
        <v/>
      </c>
      <c r="Q153" s="87" t="str">
        <f t="shared" ca="1" si="4"/>
        <v/>
      </c>
      <c r="R153" s="22"/>
      <c r="S153" s="44"/>
      <c r="T153" s="22"/>
      <c r="U153" s="22"/>
    </row>
    <row r="154" spans="1:21" ht="14" x14ac:dyDescent="0.15">
      <c r="A154" s="43" t="s">
        <v>2509</v>
      </c>
      <c r="B154" s="22"/>
      <c r="C154" s="22"/>
      <c r="D154" s="22"/>
      <c r="E154" s="22"/>
      <c r="F154" s="22"/>
      <c r="G154" s="22"/>
      <c r="H154" s="22"/>
      <c r="I154" s="61"/>
      <c r="J154" s="44"/>
      <c r="K154" s="75"/>
      <c r="L154" s="45"/>
      <c r="M154" s="44"/>
      <c r="N154" s="44"/>
      <c r="O154" s="44"/>
      <c r="P154" s="57" t="str">
        <f>IF(AND(ISNUMBER(N154),ISNUMBER(O154)),IF(N154&gt;=Engagement!$C$45,IF(O154&gt;=Engagement!$C$45,"Invest","Migrate"),IF(O154&gt;=Engagement!$C$45,"Tolerate","Eliminate")),"")</f>
        <v/>
      </c>
      <c r="Q154" s="87" t="str">
        <f t="shared" ca="1" si="4"/>
        <v/>
      </c>
      <c r="R154" s="22"/>
      <c r="S154" s="44"/>
      <c r="T154" s="22"/>
      <c r="U154" s="22"/>
    </row>
    <row r="155" spans="1:21" ht="14" x14ac:dyDescent="0.15">
      <c r="A155" s="43" t="s">
        <v>2510</v>
      </c>
      <c r="B155" s="22"/>
      <c r="C155" s="22"/>
      <c r="D155" s="22"/>
      <c r="E155" s="22"/>
      <c r="F155" s="22"/>
      <c r="G155" s="22"/>
      <c r="H155" s="22"/>
      <c r="I155" s="61"/>
      <c r="J155" s="44"/>
      <c r="K155" s="75"/>
      <c r="L155" s="45"/>
      <c r="M155" s="44"/>
      <c r="N155" s="44"/>
      <c r="O155" s="44"/>
      <c r="P155" s="57" t="str">
        <f>IF(AND(ISNUMBER(N155),ISNUMBER(O155)),IF(N155&gt;=Engagement!$C$45,IF(O155&gt;=Engagement!$C$45,"Invest","Migrate"),IF(O155&gt;=Engagement!$C$45,"Tolerate","Eliminate")),"")</f>
        <v/>
      </c>
      <c r="Q155" s="87" t="str">
        <f t="shared" ca="1" si="4"/>
        <v/>
      </c>
      <c r="R155" s="22"/>
      <c r="S155" s="44"/>
      <c r="T155" s="22"/>
      <c r="U155" s="22"/>
    </row>
    <row r="156" spans="1:21" ht="14" x14ac:dyDescent="0.15">
      <c r="A156" s="43" t="s">
        <v>2511</v>
      </c>
      <c r="B156" s="22"/>
      <c r="C156" s="22"/>
      <c r="D156" s="22"/>
      <c r="E156" s="22"/>
      <c r="F156" s="22"/>
      <c r="G156" s="22"/>
      <c r="H156" s="22"/>
      <c r="I156" s="61"/>
      <c r="J156" s="44"/>
      <c r="K156" s="75"/>
      <c r="L156" s="45"/>
      <c r="M156" s="44"/>
      <c r="N156" s="44"/>
      <c r="O156" s="44"/>
      <c r="P156" s="57" t="str">
        <f>IF(AND(ISNUMBER(N156),ISNUMBER(O156)),IF(N156&gt;=Engagement!$C$45,IF(O156&gt;=Engagement!$C$45,"Invest","Migrate"),IF(O156&gt;=Engagement!$C$45,"Tolerate","Eliminate")),"")</f>
        <v/>
      </c>
      <c r="Q156" s="87" t="str">
        <f t="shared" ca="1" si="4"/>
        <v/>
      </c>
      <c r="R156" s="22"/>
      <c r="S156" s="44"/>
      <c r="T156" s="22"/>
      <c r="U156" s="22"/>
    </row>
  </sheetData>
  <autoFilter ref="A5:U156" xr:uid="{00000000-0009-0000-0000-00000C000000}"/>
  <conditionalFormatting sqref="J6:J156">
    <cfRule type="cellIs" dxfId="36" priority="6" operator="equal">
      <formula>"Critical"</formula>
    </cfRule>
    <cfRule type="cellIs" dxfId="35" priority="7" operator="equal">
      <formula>"High"</formula>
    </cfRule>
    <cfRule type="cellIs" dxfId="34" priority="8" operator="equal">
      <formula>"Medium"</formula>
    </cfRule>
    <cfRule type="cellIs" dxfId="33" priority="9" operator="equal">
      <formula>"Low"</formula>
    </cfRule>
  </conditionalFormatting>
  <conditionalFormatting sqref="M6:M156">
    <cfRule type="cellIs" dxfId="32" priority="10" operator="equal">
      <formula>"End of life"</formula>
    </cfRule>
    <cfRule type="cellIs" dxfId="31" priority="11" operator="equal">
      <formula>"Extended support"</formula>
    </cfRule>
  </conditionalFormatting>
  <conditionalFormatting sqref="P6:P156">
    <cfRule type="cellIs" dxfId="30" priority="2" operator="equal">
      <formula>"Invest"</formula>
    </cfRule>
    <cfRule type="cellIs" dxfId="29" priority="3" operator="equal">
      <formula>"Migrate"</formula>
    </cfRule>
    <cfRule type="cellIs" dxfId="28" priority="4" operator="equal">
      <formula>"Tolerate"</formula>
    </cfRule>
    <cfRule type="cellIs" dxfId="27" priority="5" operator="equal">
      <formula>"Eliminate"</formula>
    </cfRule>
  </conditionalFormatting>
  <conditionalFormatting sqref="Q6:Q156">
    <cfRule type="expression" dxfId="25" priority="13">
      <formula>AND(ISNUMBER($Q6),$Q6&lt;0)</formula>
    </cfRule>
  </conditionalFormatting>
  <dataValidations count="2">
    <dataValidation type="date" operator="greaterThan" allowBlank="1" showErrorMessage="1" error="Enter a valid date (dd/mm/yyyy)." sqref="L6:L156" xr:uid="{00000000-0002-0000-0C00-000000000000}">
      <formula1>36526</formula1>
      <formula2>0</formula2>
    </dataValidation>
    <dataValidation type="whole" allowBlank="1" showErrorMessage="1" error="Enter a whole number between 1 and 5." sqref="N6:O156" xr:uid="{00000000-0002-0000-0C00-000001000000}">
      <formula1>1</formula1>
      <formula2>5</formula2>
    </dataValidation>
  </dataValidations>
  <pageMargins left="0.4" right="0.4" top="0.5" bottom="0.5" header="0.511811023622047" footer="0.5"/>
  <pageSetup paperSize="9" fitToHeight="0" orientation="landscape" horizontalDpi="300" verticalDpi="300"/>
  <headerFooter>
    <oddFooter>&amp;L&amp;8 CTO Consulting | Operating Model Assessment Toolkit&amp;R&amp;8 &amp;A | Page 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00000000-000E-0000-0C00-00000C000000}">
            <xm:f>AND(ISNUMBER($Q6),$Q6&lt;=Engagement!$C$44)</xm:f>
            <x14:dxf>
              <font>
                <b/>
                <color rgb="FF9C5700"/>
                <name val="Arial"/>
                <charset val="1"/>
              </font>
              <fill>
                <patternFill>
                  <bgColor rgb="FFFFEB9C"/>
                </patternFill>
              </fill>
            </x14:dxf>
          </x14:cfRule>
          <xm:sqref>Q6:Q156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 entry" error="Please select a value from the list (values are maintained on the Lists tab)." xr:uid="{00000000-0002-0000-0C00-000002000000}">
          <x14:formula1>
            <xm:f>Lists!$T$2:$T$6</xm:f>
          </x14:formula1>
          <x14:formula2>
            <xm:f>0</xm:f>
          </x14:formula2>
          <xm:sqref>H6:H156</xm:sqref>
        </x14:dataValidation>
        <x14:dataValidation type="list" allowBlank="1" showErrorMessage="1" errorTitle="Invalid entry" error="Please select a value from the list (values are maintained on the Lists tab)." xr:uid="{00000000-0002-0000-0C00-000003000000}">
          <x14:formula1>
            <xm:f>Lists!$F$2:$F$5</xm:f>
          </x14:formula1>
          <x14:formula2>
            <xm:f>0</xm:f>
          </x14:formula2>
          <xm:sqref>J6:J156</xm:sqref>
        </x14:dataValidation>
        <x14:dataValidation type="list" allowBlank="1" showErrorMessage="1" errorTitle="Invalid entry" error="Please select a value from the list (values are maintained on the Lists tab)." xr:uid="{00000000-0002-0000-0C00-000004000000}">
          <x14:formula1>
            <xm:f>Lists!$U$2:$U$5</xm:f>
          </x14:formula1>
          <x14:formula2>
            <xm:f>0</xm:f>
          </x14:formula2>
          <xm:sqref>M6:M156</xm:sqref>
        </x14:dataValidation>
        <x14:dataValidation type="list" allowBlank="1" showErrorMessage="1" errorTitle="Invalid entry" error="Please select a value from the list (values are maintained on the Lists tab)." xr:uid="{00000000-0002-0000-0C00-000005000000}">
          <x14:formula1>
            <xm:f>Lists!$V$2:$V$5</xm:f>
          </x14:formula1>
          <x14:formula2>
            <xm:f>0</xm:f>
          </x14:formula2>
          <xm:sqref>R6:R156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E75B6"/>
    <pageSetUpPr fitToPage="1"/>
  </sheetPr>
  <dimension ref="A1:S107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8.6640625" defaultRowHeight="13" x14ac:dyDescent="0.15"/>
  <cols>
    <col min="1" max="1" width="9" customWidth="1"/>
    <col min="2" max="2" width="22" customWidth="1"/>
    <col min="3" max="3" width="30" customWidth="1"/>
    <col min="4" max="4" width="22" customWidth="1"/>
    <col min="5" max="5" width="13" customWidth="1"/>
    <col min="6" max="6" width="14" customWidth="1"/>
    <col min="7" max="7" width="10" customWidth="1"/>
    <col min="8" max="9" width="12" customWidth="1"/>
    <col min="10" max="10" width="10" customWidth="1"/>
    <col min="11" max="11" width="18" customWidth="1"/>
    <col min="12" max="12" width="12" customWidth="1"/>
    <col min="13" max="13" width="10" customWidth="1"/>
    <col min="14" max="16" width="11" customWidth="1"/>
    <col min="17" max="17" width="18" customWidth="1"/>
    <col min="18" max="18" width="16" customWidth="1"/>
    <col min="19" max="19" width="32" customWidth="1"/>
  </cols>
  <sheetData>
    <row r="1" spans="1:19" ht="27.75" customHeight="1" x14ac:dyDescent="0.15">
      <c r="A1" s="33" t="s">
        <v>2512</v>
      </c>
    </row>
    <row r="2" spans="1:19" x14ac:dyDescent="0.15">
      <c r="A2" s="34" t="s">
        <v>2513</v>
      </c>
    </row>
    <row r="3" spans="1:19" x14ac:dyDescent="0.15">
      <c r="A3" s="38" t="s">
        <v>423</v>
      </c>
    </row>
    <row r="5" spans="1:19" ht="48" customHeight="1" x14ac:dyDescent="0.15">
      <c r="A5" s="20" t="s">
        <v>424</v>
      </c>
      <c r="B5" s="20" t="s">
        <v>2514</v>
      </c>
      <c r="C5" s="20" t="s">
        <v>2515</v>
      </c>
      <c r="D5" s="20" t="s">
        <v>2516</v>
      </c>
      <c r="E5" s="20" t="s">
        <v>2517</v>
      </c>
      <c r="F5" s="20" t="s">
        <v>2518</v>
      </c>
      <c r="G5" s="20" t="s">
        <v>2519</v>
      </c>
      <c r="H5" s="20" t="s">
        <v>2520</v>
      </c>
      <c r="I5" s="20" t="s">
        <v>2521</v>
      </c>
      <c r="J5" s="20" t="s">
        <v>2522</v>
      </c>
      <c r="K5" s="20" t="s">
        <v>2523</v>
      </c>
      <c r="L5" s="20" t="s">
        <v>2524</v>
      </c>
      <c r="M5" s="20" t="s">
        <v>2525</v>
      </c>
      <c r="N5" s="20" t="s">
        <v>2526</v>
      </c>
      <c r="O5" s="20" t="s">
        <v>2527</v>
      </c>
      <c r="P5" s="20" t="s">
        <v>2528</v>
      </c>
      <c r="Q5" s="20" t="s">
        <v>2529</v>
      </c>
      <c r="R5" s="20" t="s">
        <v>2530</v>
      </c>
      <c r="S5" s="20" t="s">
        <v>1888</v>
      </c>
    </row>
    <row r="6" spans="1:19" ht="28" x14ac:dyDescent="0.15">
      <c r="A6" s="39" t="s">
        <v>436</v>
      </c>
      <c r="B6" s="25" t="s">
        <v>2531</v>
      </c>
      <c r="C6" s="25" t="s">
        <v>2532</v>
      </c>
      <c r="D6" s="25" t="s">
        <v>2533</v>
      </c>
      <c r="E6" s="40" t="s">
        <v>1890</v>
      </c>
      <c r="F6" s="69">
        <v>3200000</v>
      </c>
      <c r="G6" s="88" t="str">
        <f t="shared" ref="G6:G37" si="0">IF(AND(ISNUMBER(F6),A6&lt;&gt;"Example"),IFERROR(F6/SUMIF($A$6:$A$106,"&lt;&gt;Example",$F$6:$F$106),""),"")</f>
        <v/>
      </c>
      <c r="H6" s="42">
        <v>45108</v>
      </c>
      <c r="I6" s="42">
        <v>46568</v>
      </c>
      <c r="J6" s="86">
        <f t="shared" ref="J6:J37" ca="1" si="1">IF(ISNUMBER(I6),I6-TODAY(),"")</f>
        <v>274</v>
      </c>
      <c r="K6" s="68" t="str">
        <f ca="1">IF(ISNUMBER(J6),IF(J6&lt;0,"Expired",IF(J6&lt;=Engagement!$C$44,"Decision due","")),"")</f>
        <v/>
      </c>
      <c r="L6" s="40" t="s">
        <v>2534</v>
      </c>
      <c r="M6" s="40" t="s">
        <v>2534</v>
      </c>
      <c r="N6" s="40" t="s">
        <v>2535</v>
      </c>
      <c r="O6" s="68" t="str">
        <f t="shared" ref="O6:O37" si="2">IF(AND(L6="",M6="",N6=""),"",IF(AND(M6="Yes",N6&lt;&gt;"Yes"),"High",IF(OR(M6="Yes",AND(L6="Yes",N6&lt;&gt;"Yes")),"Medium","Low")))</f>
        <v>High</v>
      </c>
      <c r="P6" s="40">
        <v>3</v>
      </c>
      <c r="Q6" s="25" t="s">
        <v>2536</v>
      </c>
      <c r="R6" s="25" t="s">
        <v>2537</v>
      </c>
      <c r="S6" s="25" t="s">
        <v>2538</v>
      </c>
    </row>
    <row r="7" spans="1:19" ht="14" x14ac:dyDescent="0.15">
      <c r="A7" s="43" t="s">
        <v>2539</v>
      </c>
      <c r="B7" s="22"/>
      <c r="C7" s="22"/>
      <c r="D7" s="22"/>
      <c r="E7" s="44"/>
      <c r="F7" s="75"/>
      <c r="G7" s="89" t="str">
        <f t="shared" si="0"/>
        <v/>
      </c>
      <c r="H7" s="45"/>
      <c r="I7" s="45"/>
      <c r="J7" s="87" t="str">
        <f t="shared" ca="1" si="1"/>
        <v/>
      </c>
      <c r="K7" s="57" t="str">
        <f ca="1">IF(ISNUMBER(J7),IF(J7&lt;0,"Expired",IF(J7&lt;=Engagement!$C$44,"Decision due","")),"")</f>
        <v/>
      </c>
      <c r="L7" s="44"/>
      <c r="M7" s="44"/>
      <c r="N7" s="44"/>
      <c r="O7" s="57" t="str">
        <f t="shared" si="2"/>
        <v/>
      </c>
      <c r="P7" s="44"/>
      <c r="Q7" s="22"/>
      <c r="R7" s="22"/>
      <c r="S7" s="22"/>
    </row>
    <row r="8" spans="1:19" ht="14" x14ac:dyDescent="0.15">
      <c r="A8" s="43" t="s">
        <v>2540</v>
      </c>
      <c r="B8" s="22"/>
      <c r="C8" s="22"/>
      <c r="D8" s="22"/>
      <c r="E8" s="44"/>
      <c r="F8" s="75"/>
      <c r="G8" s="89" t="str">
        <f t="shared" si="0"/>
        <v/>
      </c>
      <c r="H8" s="45"/>
      <c r="I8" s="45"/>
      <c r="J8" s="87" t="str">
        <f t="shared" ca="1" si="1"/>
        <v/>
      </c>
      <c r="K8" s="57" t="str">
        <f ca="1">IF(ISNUMBER(J8),IF(J8&lt;0,"Expired",IF(J8&lt;=Engagement!$C$44,"Decision due","")),"")</f>
        <v/>
      </c>
      <c r="L8" s="44"/>
      <c r="M8" s="44"/>
      <c r="N8" s="44"/>
      <c r="O8" s="57" t="str">
        <f t="shared" si="2"/>
        <v/>
      </c>
      <c r="P8" s="44"/>
      <c r="Q8" s="22"/>
      <c r="R8" s="22"/>
      <c r="S8" s="22"/>
    </row>
    <row r="9" spans="1:19" ht="14" x14ac:dyDescent="0.15">
      <c r="A9" s="43" t="s">
        <v>2541</v>
      </c>
      <c r="B9" s="22"/>
      <c r="C9" s="22"/>
      <c r="D9" s="22"/>
      <c r="E9" s="44"/>
      <c r="F9" s="75"/>
      <c r="G9" s="89" t="str">
        <f t="shared" si="0"/>
        <v/>
      </c>
      <c r="H9" s="45"/>
      <c r="I9" s="45"/>
      <c r="J9" s="87" t="str">
        <f t="shared" ca="1" si="1"/>
        <v/>
      </c>
      <c r="K9" s="57" t="str">
        <f ca="1">IF(ISNUMBER(J9),IF(J9&lt;0,"Expired",IF(J9&lt;=Engagement!$C$44,"Decision due","")),"")</f>
        <v/>
      </c>
      <c r="L9" s="44"/>
      <c r="M9" s="44"/>
      <c r="N9" s="44"/>
      <c r="O9" s="57" t="str">
        <f t="shared" si="2"/>
        <v/>
      </c>
      <c r="P9" s="44"/>
      <c r="Q9" s="22"/>
      <c r="R9" s="22"/>
      <c r="S9" s="22"/>
    </row>
    <row r="10" spans="1:19" ht="14" x14ac:dyDescent="0.15">
      <c r="A10" s="43" t="s">
        <v>2542</v>
      </c>
      <c r="B10" s="22"/>
      <c r="C10" s="22"/>
      <c r="D10" s="22"/>
      <c r="E10" s="44"/>
      <c r="F10" s="75"/>
      <c r="G10" s="89" t="str">
        <f t="shared" si="0"/>
        <v/>
      </c>
      <c r="H10" s="45"/>
      <c r="I10" s="45"/>
      <c r="J10" s="87" t="str">
        <f t="shared" ca="1" si="1"/>
        <v/>
      </c>
      <c r="K10" s="57" t="str">
        <f ca="1">IF(ISNUMBER(J10),IF(J10&lt;0,"Expired",IF(J10&lt;=Engagement!$C$44,"Decision due","")),"")</f>
        <v/>
      </c>
      <c r="L10" s="44"/>
      <c r="M10" s="44"/>
      <c r="N10" s="44"/>
      <c r="O10" s="57" t="str">
        <f t="shared" si="2"/>
        <v/>
      </c>
      <c r="P10" s="44"/>
      <c r="Q10" s="22"/>
      <c r="R10" s="22"/>
      <c r="S10" s="22"/>
    </row>
    <row r="11" spans="1:19" ht="14" x14ac:dyDescent="0.15">
      <c r="A11" s="43" t="s">
        <v>2543</v>
      </c>
      <c r="B11" s="22"/>
      <c r="C11" s="22"/>
      <c r="D11" s="22"/>
      <c r="E11" s="44"/>
      <c r="F11" s="75"/>
      <c r="G11" s="89" t="str">
        <f t="shared" si="0"/>
        <v/>
      </c>
      <c r="H11" s="45"/>
      <c r="I11" s="45"/>
      <c r="J11" s="87" t="str">
        <f t="shared" ca="1" si="1"/>
        <v/>
      </c>
      <c r="K11" s="57" t="str">
        <f ca="1">IF(ISNUMBER(J11),IF(J11&lt;0,"Expired",IF(J11&lt;=Engagement!$C$44,"Decision due","")),"")</f>
        <v/>
      </c>
      <c r="L11" s="44"/>
      <c r="M11" s="44"/>
      <c r="N11" s="44"/>
      <c r="O11" s="57" t="str">
        <f t="shared" si="2"/>
        <v/>
      </c>
      <c r="P11" s="44"/>
      <c r="Q11" s="22"/>
      <c r="R11" s="22"/>
      <c r="S11" s="22"/>
    </row>
    <row r="12" spans="1:19" ht="14" x14ac:dyDescent="0.15">
      <c r="A12" s="43" t="s">
        <v>2544</v>
      </c>
      <c r="B12" s="22"/>
      <c r="C12" s="22"/>
      <c r="D12" s="22"/>
      <c r="E12" s="44"/>
      <c r="F12" s="75"/>
      <c r="G12" s="89" t="str">
        <f t="shared" si="0"/>
        <v/>
      </c>
      <c r="H12" s="45"/>
      <c r="I12" s="45"/>
      <c r="J12" s="87" t="str">
        <f t="shared" ca="1" si="1"/>
        <v/>
      </c>
      <c r="K12" s="57" t="str">
        <f ca="1">IF(ISNUMBER(J12),IF(J12&lt;0,"Expired",IF(J12&lt;=Engagement!$C$44,"Decision due","")),"")</f>
        <v/>
      </c>
      <c r="L12" s="44"/>
      <c r="M12" s="44"/>
      <c r="N12" s="44"/>
      <c r="O12" s="57" t="str">
        <f t="shared" si="2"/>
        <v/>
      </c>
      <c r="P12" s="44"/>
      <c r="Q12" s="22"/>
      <c r="R12" s="22"/>
      <c r="S12" s="22"/>
    </row>
    <row r="13" spans="1:19" ht="14" x14ac:dyDescent="0.15">
      <c r="A13" s="43" t="s">
        <v>2545</v>
      </c>
      <c r="B13" s="22"/>
      <c r="C13" s="22"/>
      <c r="D13" s="22"/>
      <c r="E13" s="44"/>
      <c r="F13" s="75"/>
      <c r="G13" s="89" t="str">
        <f t="shared" si="0"/>
        <v/>
      </c>
      <c r="H13" s="45"/>
      <c r="I13" s="45"/>
      <c r="J13" s="87" t="str">
        <f t="shared" ca="1" si="1"/>
        <v/>
      </c>
      <c r="K13" s="57" t="str">
        <f ca="1">IF(ISNUMBER(J13),IF(J13&lt;0,"Expired",IF(J13&lt;=Engagement!$C$44,"Decision due","")),"")</f>
        <v/>
      </c>
      <c r="L13" s="44"/>
      <c r="M13" s="44"/>
      <c r="N13" s="44"/>
      <c r="O13" s="57" t="str">
        <f t="shared" si="2"/>
        <v/>
      </c>
      <c r="P13" s="44"/>
      <c r="Q13" s="22"/>
      <c r="R13" s="22"/>
      <c r="S13" s="22"/>
    </row>
    <row r="14" spans="1:19" ht="14" x14ac:dyDescent="0.15">
      <c r="A14" s="43" t="s">
        <v>2546</v>
      </c>
      <c r="B14" s="22"/>
      <c r="C14" s="22"/>
      <c r="D14" s="22"/>
      <c r="E14" s="44"/>
      <c r="F14" s="75"/>
      <c r="G14" s="89" t="str">
        <f t="shared" si="0"/>
        <v/>
      </c>
      <c r="H14" s="45"/>
      <c r="I14" s="45"/>
      <c r="J14" s="87" t="str">
        <f t="shared" ca="1" si="1"/>
        <v/>
      </c>
      <c r="K14" s="57" t="str">
        <f ca="1">IF(ISNUMBER(J14),IF(J14&lt;0,"Expired",IF(J14&lt;=Engagement!$C$44,"Decision due","")),"")</f>
        <v/>
      </c>
      <c r="L14" s="44"/>
      <c r="M14" s="44"/>
      <c r="N14" s="44"/>
      <c r="O14" s="57" t="str">
        <f t="shared" si="2"/>
        <v/>
      </c>
      <c r="P14" s="44"/>
      <c r="Q14" s="22"/>
      <c r="R14" s="22"/>
      <c r="S14" s="22"/>
    </row>
    <row r="15" spans="1:19" ht="14" x14ac:dyDescent="0.15">
      <c r="A15" s="43" t="s">
        <v>2547</v>
      </c>
      <c r="B15" s="22"/>
      <c r="C15" s="22"/>
      <c r="D15" s="22"/>
      <c r="E15" s="44"/>
      <c r="F15" s="75"/>
      <c r="G15" s="89" t="str">
        <f t="shared" si="0"/>
        <v/>
      </c>
      <c r="H15" s="45"/>
      <c r="I15" s="45"/>
      <c r="J15" s="87" t="str">
        <f t="shared" ca="1" si="1"/>
        <v/>
      </c>
      <c r="K15" s="57" t="str">
        <f ca="1">IF(ISNUMBER(J15),IF(J15&lt;0,"Expired",IF(J15&lt;=Engagement!$C$44,"Decision due","")),"")</f>
        <v/>
      </c>
      <c r="L15" s="44"/>
      <c r="M15" s="44"/>
      <c r="N15" s="44"/>
      <c r="O15" s="57" t="str">
        <f t="shared" si="2"/>
        <v/>
      </c>
      <c r="P15" s="44"/>
      <c r="Q15" s="22"/>
      <c r="R15" s="22"/>
      <c r="S15" s="22"/>
    </row>
    <row r="16" spans="1:19" ht="14" x14ac:dyDescent="0.15">
      <c r="A16" s="43" t="s">
        <v>2548</v>
      </c>
      <c r="B16" s="22"/>
      <c r="C16" s="22"/>
      <c r="D16" s="22"/>
      <c r="E16" s="44"/>
      <c r="F16" s="75"/>
      <c r="G16" s="89" t="str">
        <f t="shared" si="0"/>
        <v/>
      </c>
      <c r="H16" s="45"/>
      <c r="I16" s="45"/>
      <c r="J16" s="87" t="str">
        <f t="shared" ca="1" si="1"/>
        <v/>
      </c>
      <c r="K16" s="57" t="str">
        <f ca="1">IF(ISNUMBER(J16),IF(J16&lt;0,"Expired",IF(J16&lt;=Engagement!$C$44,"Decision due","")),"")</f>
        <v/>
      </c>
      <c r="L16" s="44"/>
      <c r="M16" s="44"/>
      <c r="N16" s="44"/>
      <c r="O16" s="57" t="str">
        <f t="shared" si="2"/>
        <v/>
      </c>
      <c r="P16" s="44"/>
      <c r="Q16" s="22"/>
      <c r="R16" s="22"/>
      <c r="S16" s="22"/>
    </row>
    <row r="17" spans="1:19" ht="14" x14ac:dyDescent="0.15">
      <c r="A17" s="43" t="s">
        <v>2549</v>
      </c>
      <c r="B17" s="22"/>
      <c r="C17" s="22"/>
      <c r="D17" s="22"/>
      <c r="E17" s="44"/>
      <c r="F17" s="75"/>
      <c r="G17" s="89" t="str">
        <f t="shared" si="0"/>
        <v/>
      </c>
      <c r="H17" s="45"/>
      <c r="I17" s="45"/>
      <c r="J17" s="87" t="str">
        <f t="shared" ca="1" si="1"/>
        <v/>
      </c>
      <c r="K17" s="57" t="str">
        <f ca="1">IF(ISNUMBER(J17),IF(J17&lt;0,"Expired",IF(J17&lt;=Engagement!$C$44,"Decision due","")),"")</f>
        <v/>
      </c>
      <c r="L17" s="44"/>
      <c r="M17" s="44"/>
      <c r="N17" s="44"/>
      <c r="O17" s="57" t="str">
        <f t="shared" si="2"/>
        <v/>
      </c>
      <c r="P17" s="44"/>
      <c r="Q17" s="22"/>
      <c r="R17" s="22"/>
      <c r="S17" s="22"/>
    </row>
    <row r="18" spans="1:19" ht="14" x14ac:dyDescent="0.15">
      <c r="A18" s="43" t="s">
        <v>2550</v>
      </c>
      <c r="B18" s="22"/>
      <c r="C18" s="22"/>
      <c r="D18" s="22"/>
      <c r="E18" s="44"/>
      <c r="F18" s="75"/>
      <c r="G18" s="89" t="str">
        <f t="shared" si="0"/>
        <v/>
      </c>
      <c r="H18" s="45"/>
      <c r="I18" s="45"/>
      <c r="J18" s="87" t="str">
        <f t="shared" ca="1" si="1"/>
        <v/>
      </c>
      <c r="K18" s="57" t="str">
        <f ca="1">IF(ISNUMBER(J18),IF(J18&lt;0,"Expired",IF(J18&lt;=Engagement!$C$44,"Decision due","")),"")</f>
        <v/>
      </c>
      <c r="L18" s="44"/>
      <c r="M18" s="44"/>
      <c r="N18" s="44"/>
      <c r="O18" s="57" t="str">
        <f t="shared" si="2"/>
        <v/>
      </c>
      <c r="P18" s="44"/>
      <c r="Q18" s="22"/>
      <c r="R18" s="22"/>
      <c r="S18" s="22"/>
    </row>
    <row r="19" spans="1:19" ht="14" x14ac:dyDescent="0.15">
      <c r="A19" s="43" t="s">
        <v>2551</v>
      </c>
      <c r="B19" s="22"/>
      <c r="C19" s="22"/>
      <c r="D19" s="22"/>
      <c r="E19" s="44"/>
      <c r="F19" s="75"/>
      <c r="G19" s="89" t="str">
        <f t="shared" si="0"/>
        <v/>
      </c>
      <c r="H19" s="45"/>
      <c r="I19" s="45"/>
      <c r="J19" s="87" t="str">
        <f t="shared" ca="1" si="1"/>
        <v/>
      </c>
      <c r="K19" s="57" t="str">
        <f ca="1">IF(ISNUMBER(J19),IF(J19&lt;0,"Expired",IF(J19&lt;=Engagement!$C$44,"Decision due","")),"")</f>
        <v/>
      </c>
      <c r="L19" s="44"/>
      <c r="M19" s="44"/>
      <c r="N19" s="44"/>
      <c r="O19" s="57" t="str">
        <f t="shared" si="2"/>
        <v/>
      </c>
      <c r="P19" s="44"/>
      <c r="Q19" s="22"/>
      <c r="R19" s="22"/>
      <c r="S19" s="22"/>
    </row>
    <row r="20" spans="1:19" ht="14" x14ac:dyDescent="0.15">
      <c r="A20" s="43" t="s">
        <v>2552</v>
      </c>
      <c r="B20" s="22"/>
      <c r="C20" s="22"/>
      <c r="D20" s="22"/>
      <c r="E20" s="44"/>
      <c r="F20" s="75"/>
      <c r="G20" s="89" t="str">
        <f t="shared" si="0"/>
        <v/>
      </c>
      <c r="H20" s="45"/>
      <c r="I20" s="45"/>
      <c r="J20" s="87" t="str">
        <f t="shared" ca="1" si="1"/>
        <v/>
      </c>
      <c r="K20" s="57" t="str">
        <f ca="1">IF(ISNUMBER(J20),IF(J20&lt;0,"Expired",IF(J20&lt;=Engagement!$C$44,"Decision due","")),"")</f>
        <v/>
      </c>
      <c r="L20" s="44"/>
      <c r="M20" s="44"/>
      <c r="N20" s="44"/>
      <c r="O20" s="57" t="str">
        <f t="shared" si="2"/>
        <v/>
      </c>
      <c r="P20" s="44"/>
      <c r="Q20" s="22"/>
      <c r="R20" s="22"/>
      <c r="S20" s="22"/>
    </row>
    <row r="21" spans="1:19" ht="14" x14ac:dyDescent="0.15">
      <c r="A21" s="43" t="s">
        <v>2553</v>
      </c>
      <c r="B21" s="22"/>
      <c r="C21" s="22"/>
      <c r="D21" s="22"/>
      <c r="E21" s="44"/>
      <c r="F21" s="75"/>
      <c r="G21" s="89" t="str">
        <f t="shared" si="0"/>
        <v/>
      </c>
      <c r="H21" s="45"/>
      <c r="I21" s="45"/>
      <c r="J21" s="87" t="str">
        <f t="shared" ca="1" si="1"/>
        <v/>
      </c>
      <c r="K21" s="57" t="str">
        <f ca="1">IF(ISNUMBER(J21),IF(J21&lt;0,"Expired",IF(J21&lt;=Engagement!$C$44,"Decision due","")),"")</f>
        <v/>
      </c>
      <c r="L21" s="44"/>
      <c r="M21" s="44"/>
      <c r="N21" s="44"/>
      <c r="O21" s="57" t="str">
        <f t="shared" si="2"/>
        <v/>
      </c>
      <c r="P21" s="44"/>
      <c r="Q21" s="22"/>
      <c r="R21" s="22"/>
      <c r="S21" s="22"/>
    </row>
    <row r="22" spans="1:19" ht="14" x14ac:dyDescent="0.15">
      <c r="A22" s="43" t="s">
        <v>2554</v>
      </c>
      <c r="B22" s="22"/>
      <c r="C22" s="22"/>
      <c r="D22" s="22"/>
      <c r="E22" s="44"/>
      <c r="F22" s="75"/>
      <c r="G22" s="89" t="str">
        <f t="shared" si="0"/>
        <v/>
      </c>
      <c r="H22" s="45"/>
      <c r="I22" s="45"/>
      <c r="J22" s="87" t="str">
        <f t="shared" ca="1" si="1"/>
        <v/>
      </c>
      <c r="K22" s="57" t="str">
        <f ca="1">IF(ISNUMBER(J22),IF(J22&lt;0,"Expired",IF(J22&lt;=Engagement!$C$44,"Decision due","")),"")</f>
        <v/>
      </c>
      <c r="L22" s="44"/>
      <c r="M22" s="44"/>
      <c r="N22" s="44"/>
      <c r="O22" s="57" t="str">
        <f t="shared" si="2"/>
        <v/>
      </c>
      <c r="P22" s="44"/>
      <c r="Q22" s="22"/>
      <c r="R22" s="22"/>
      <c r="S22" s="22"/>
    </row>
    <row r="23" spans="1:19" ht="14" x14ac:dyDescent="0.15">
      <c r="A23" s="43" t="s">
        <v>2555</v>
      </c>
      <c r="B23" s="22"/>
      <c r="C23" s="22"/>
      <c r="D23" s="22"/>
      <c r="E23" s="44"/>
      <c r="F23" s="75"/>
      <c r="G23" s="89" t="str">
        <f t="shared" si="0"/>
        <v/>
      </c>
      <c r="H23" s="45"/>
      <c r="I23" s="45"/>
      <c r="J23" s="87" t="str">
        <f t="shared" ca="1" si="1"/>
        <v/>
      </c>
      <c r="K23" s="57" t="str">
        <f ca="1">IF(ISNUMBER(J23),IF(J23&lt;0,"Expired",IF(J23&lt;=Engagement!$C$44,"Decision due","")),"")</f>
        <v/>
      </c>
      <c r="L23" s="44"/>
      <c r="M23" s="44"/>
      <c r="N23" s="44"/>
      <c r="O23" s="57" t="str">
        <f t="shared" si="2"/>
        <v/>
      </c>
      <c r="P23" s="44"/>
      <c r="Q23" s="22"/>
      <c r="R23" s="22"/>
      <c r="S23" s="22"/>
    </row>
    <row r="24" spans="1:19" ht="14" x14ac:dyDescent="0.15">
      <c r="A24" s="43" t="s">
        <v>2556</v>
      </c>
      <c r="B24" s="22"/>
      <c r="C24" s="22"/>
      <c r="D24" s="22"/>
      <c r="E24" s="44"/>
      <c r="F24" s="75"/>
      <c r="G24" s="89" t="str">
        <f t="shared" si="0"/>
        <v/>
      </c>
      <c r="H24" s="45"/>
      <c r="I24" s="45"/>
      <c r="J24" s="87" t="str">
        <f t="shared" ca="1" si="1"/>
        <v/>
      </c>
      <c r="K24" s="57" t="str">
        <f ca="1">IF(ISNUMBER(J24),IF(J24&lt;0,"Expired",IF(J24&lt;=Engagement!$C$44,"Decision due","")),"")</f>
        <v/>
      </c>
      <c r="L24" s="44"/>
      <c r="M24" s="44"/>
      <c r="N24" s="44"/>
      <c r="O24" s="57" t="str">
        <f t="shared" si="2"/>
        <v/>
      </c>
      <c r="P24" s="44"/>
      <c r="Q24" s="22"/>
      <c r="R24" s="22"/>
      <c r="S24" s="22"/>
    </row>
    <row r="25" spans="1:19" ht="14" x14ac:dyDescent="0.15">
      <c r="A25" s="43" t="s">
        <v>2557</v>
      </c>
      <c r="B25" s="22"/>
      <c r="C25" s="22"/>
      <c r="D25" s="22"/>
      <c r="E25" s="44"/>
      <c r="F25" s="75"/>
      <c r="G25" s="89" t="str">
        <f t="shared" si="0"/>
        <v/>
      </c>
      <c r="H25" s="45"/>
      <c r="I25" s="45"/>
      <c r="J25" s="87" t="str">
        <f t="shared" ca="1" si="1"/>
        <v/>
      </c>
      <c r="K25" s="57" t="str">
        <f ca="1">IF(ISNUMBER(J25),IF(J25&lt;0,"Expired",IF(J25&lt;=Engagement!$C$44,"Decision due","")),"")</f>
        <v/>
      </c>
      <c r="L25" s="44"/>
      <c r="M25" s="44"/>
      <c r="N25" s="44"/>
      <c r="O25" s="57" t="str">
        <f t="shared" si="2"/>
        <v/>
      </c>
      <c r="P25" s="44"/>
      <c r="Q25" s="22"/>
      <c r="R25" s="22"/>
      <c r="S25" s="22"/>
    </row>
    <row r="26" spans="1:19" ht="14" x14ac:dyDescent="0.15">
      <c r="A26" s="43" t="s">
        <v>2558</v>
      </c>
      <c r="B26" s="22"/>
      <c r="C26" s="22"/>
      <c r="D26" s="22"/>
      <c r="E26" s="44"/>
      <c r="F26" s="75"/>
      <c r="G26" s="89" t="str">
        <f t="shared" si="0"/>
        <v/>
      </c>
      <c r="H26" s="45"/>
      <c r="I26" s="45"/>
      <c r="J26" s="87" t="str">
        <f t="shared" ca="1" si="1"/>
        <v/>
      </c>
      <c r="K26" s="57" t="str">
        <f ca="1">IF(ISNUMBER(J26),IF(J26&lt;0,"Expired",IF(J26&lt;=Engagement!$C$44,"Decision due","")),"")</f>
        <v/>
      </c>
      <c r="L26" s="44"/>
      <c r="M26" s="44"/>
      <c r="N26" s="44"/>
      <c r="O26" s="57" t="str">
        <f t="shared" si="2"/>
        <v/>
      </c>
      <c r="P26" s="44"/>
      <c r="Q26" s="22"/>
      <c r="R26" s="22"/>
      <c r="S26" s="22"/>
    </row>
    <row r="27" spans="1:19" ht="14" x14ac:dyDescent="0.15">
      <c r="A27" s="43" t="s">
        <v>2559</v>
      </c>
      <c r="B27" s="22"/>
      <c r="C27" s="22"/>
      <c r="D27" s="22"/>
      <c r="E27" s="44"/>
      <c r="F27" s="75"/>
      <c r="G27" s="89" t="str">
        <f t="shared" si="0"/>
        <v/>
      </c>
      <c r="H27" s="45"/>
      <c r="I27" s="45"/>
      <c r="J27" s="87" t="str">
        <f t="shared" ca="1" si="1"/>
        <v/>
      </c>
      <c r="K27" s="57" t="str">
        <f ca="1">IF(ISNUMBER(J27),IF(J27&lt;0,"Expired",IF(J27&lt;=Engagement!$C$44,"Decision due","")),"")</f>
        <v/>
      </c>
      <c r="L27" s="44"/>
      <c r="M27" s="44"/>
      <c r="N27" s="44"/>
      <c r="O27" s="57" t="str">
        <f t="shared" si="2"/>
        <v/>
      </c>
      <c r="P27" s="44"/>
      <c r="Q27" s="22"/>
      <c r="R27" s="22"/>
      <c r="S27" s="22"/>
    </row>
    <row r="28" spans="1:19" ht="14" x14ac:dyDescent="0.15">
      <c r="A28" s="43" t="s">
        <v>2560</v>
      </c>
      <c r="B28" s="22"/>
      <c r="C28" s="22"/>
      <c r="D28" s="22"/>
      <c r="E28" s="44"/>
      <c r="F28" s="75"/>
      <c r="G28" s="89" t="str">
        <f t="shared" si="0"/>
        <v/>
      </c>
      <c r="H28" s="45"/>
      <c r="I28" s="45"/>
      <c r="J28" s="87" t="str">
        <f t="shared" ca="1" si="1"/>
        <v/>
      </c>
      <c r="K28" s="57" t="str">
        <f ca="1">IF(ISNUMBER(J28),IF(J28&lt;0,"Expired",IF(J28&lt;=Engagement!$C$44,"Decision due","")),"")</f>
        <v/>
      </c>
      <c r="L28" s="44"/>
      <c r="M28" s="44"/>
      <c r="N28" s="44"/>
      <c r="O28" s="57" t="str">
        <f t="shared" si="2"/>
        <v/>
      </c>
      <c r="P28" s="44"/>
      <c r="Q28" s="22"/>
      <c r="R28" s="22"/>
      <c r="S28" s="22"/>
    </row>
    <row r="29" spans="1:19" ht="14" x14ac:dyDescent="0.15">
      <c r="A29" s="43" t="s">
        <v>2561</v>
      </c>
      <c r="B29" s="22"/>
      <c r="C29" s="22"/>
      <c r="D29" s="22"/>
      <c r="E29" s="44"/>
      <c r="F29" s="75"/>
      <c r="G29" s="89" t="str">
        <f t="shared" si="0"/>
        <v/>
      </c>
      <c r="H29" s="45"/>
      <c r="I29" s="45"/>
      <c r="J29" s="87" t="str">
        <f t="shared" ca="1" si="1"/>
        <v/>
      </c>
      <c r="K29" s="57" t="str">
        <f ca="1">IF(ISNUMBER(J29),IF(J29&lt;0,"Expired",IF(J29&lt;=Engagement!$C$44,"Decision due","")),"")</f>
        <v/>
      </c>
      <c r="L29" s="44"/>
      <c r="M29" s="44"/>
      <c r="N29" s="44"/>
      <c r="O29" s="57" t="str">
        <f t="shared" si="2"/>
        <v/>
      </c>
      <c r="P29" s="44"/>
      <c r="Q29" s="22"/>
      <c r="R29" s="22"/>
      <c r="S29" s="22"/>
    </row>
    <row r="30" spans="1:19" ht="14" x14ac:dyDescent="0.15">
      <c r="A30" s="43" t="s">
        <v>2562</v>
      </c>
      <c r="B30" s="22"/>
      <c r="C30" s="22"/>
      <c r="D30" s="22"/>
      <c r="E30" s="44"/>
      <c r="F30" s="75"/>
      <c r="G30" s="89" t="str">
        <f t="shared" si="0"/>
        <v/>
      </c>
      <c r="H30" s="45"/>
      <c r="I30" s="45"/>
      <c r="J30" s="87" t="str">
        <f t="shared" ca="1" si="1"/>
        <v/>
      </c>
      <c r="K30" s="57" t="str">
        <f ca="1">IF(ISNUMBER(J30),IF(J30&lt;0,"Expired",IF(J30&lt;=Engagement!$C$44,"Decision due","")),"")</f>
        <v/>
      </c>
      <c r="L30" s="44"/>
      <c r="M30" s="44"/>
      <c r="N30" s="44"/>
      <c r="O30" s="57" t="str">
        <f t="shared" si="2"/>
        <v/>
      </c>
      <c r="P30" s="44"/>
      <c r="Q30" s="22"/>
      <c r="R30" s="22"/>
      <c r="S30" s="22"/>
    </row>
    <row r="31" spans="1:19" ht="14" x14ac:dyDescent="0.15">
      <c r="A31" s="43" t="s">
        <v>2563</v>
      </c>
      <c r="B31" s="22"/>
      <c r="C31" s="22"/>
      <c r="D31" s="22"/>
      <c r="E31" s="44"/>
      <c r="F31" s="75"/>
      <c r="G31" s="89" t="str">
        <f t="shared" si="0"/>
        <v/>
      </c>
      <c r="H31" s="45"/>
      <c r="I31" s="45"/>
      <c r="J31" s="87" t="str">
        <f t="shared" ca="1" si="1"/>
        <v/>
      </c>
      <c r="K31" s="57" t="str">
        <f ca="1">IF(ISNUMBER(J31),IF(J31&lt;0,"Expired",IF(J31&lt;=Engagement!$C$44,"Decision due","")),"")</f>
        <v/>
      </c>
      <c r="L31" s="44"/>
      <c r="M31" s="44"/>
      <c r="N31" s="44"/>
      <c r="O31" s="57" t="str">
        <f t="shared" si="2"/>
        <v/>
      </c>
      <c r="P31" s="44"/>
      <c r="Q31" s="22"/>
      <c r="R31" s="22"/>
      <c r="S31" s="22"/>
    </row>
    <row r="32" spans="1:19" ht="14" x14ac:dyDescent="0.15">
      <c r="A32" s="43" t="s">
        <v>2564</v>
      </c>
      <c r="B32" s="22"/>
      <c r="C32" s="22"/>
      <c r="D32" s="22"/>
      <c r="E32" s="44"/>
      <c r="F32" s="75"/>
      <c r="G32" s="89" t="str">
        <f t="shared" si="0"/>
        <v/>
      </c>
      <c r="H32" s="45"/>
      <c r="I32" s="45"/>
      <c r="J32" s="87" t="str">
        <f t="shared" ca="1" si="1"/>
        <v/>
      </c>
      <c r="K32" s="57" t="str">
        <f ca="1">IF(ISNUMBER(J32),IF(J32&lt;0,"Expired",IF(J32&lt;=Engagement!$C$44,"Decision due","")),"")</f>
        <v/>
      </c>
      <c r="L32" s="44"/>
      <c r="M32" s="44"/>
      <c r="N32" s="44"/>
      <c r="O32" s="57" t="str">
        <f t="shared" si="2"/>
        <v/>
      </c>
      <c r="P32" s="44"/>
      <c r="Q32" s="22"/>
      <c r="R32" s="22"/>
      <c r="S32" s="22"/>
    </row>
    <row r="33" spans="1:19" ht="14" x14ac:dyDescent="0.15">
      <c r="A33" s="43" t="s">
        <v>2565</v>
      </c>
      <c r="B33" s="22"/>
      <c r="C33" s="22"/>
      <c r="D33" s="22"/>
      <c r="E33" s="44"/>
      <c r="F33" s="75"/>
      <c r="G33" s="89" t="str">
        <f t="shared" si="0"/>
        <v/>
      </c>
      <c r="H33" s="45"/>
      <c r="I33" s="45"/>
      <c r="J33" s="87" t="str">
        <f t="shared" ca="1" si="1"/>
        <v/>
      </c>
      <c r="K33" s="57" t="str">
        <f ca="1">IF(ISNUMBER(J33),IF(J33&lt;0,"Expired",IF(J33&lt;=Engagement!$C$44,"Decision due","")),"")</f>
        <v/>
      </c>
      <c r="L33" s="44"/>
      <c r="M33" s="44"/>
      <c r="N33" s="44"/>
      <c r="O33" s="57" t="str">
        <f t="shared" si="2"/>
        <v/>
      </c>
      <c r="P33" s="44"/>
      <c r="Q33" s="22"/>
      <c r="R33" s="22"/>
      <c r="S33" s="22"/>
    </row>
    <row r="34" spans="1:19" ht="14" x14ac:dyDescent="0.15">
      <c r="A34" s="43" t="s">
        <v>2566</v>
      </c>
      <c r="B34" s="22"/>
      <c r="C34" s="22"/>
      <c r="D34" s="22"/>
      <c r="E34" s="44"/>
      <c r="F34" s="75"/>
      <c r="G34" s="89" t="str">
        <f t="shared" si="0"/>
        <v/>
      </c>
      <c r="H34" s="45"/>
      <c r="I34" s="45"/>
      <c r="J34" s="87" t="str">
        <f t="shared" ca="1" si="1"/>
        <v/>
      </c>
      <c r="K34" s="57" t="str">
        <f ca="1">IF(ISNUMBER(J34),IF(J34&lt;0,"Expired",IF(J34&lt;=Engagement!$C$44,"Decision due","")),"")</f>
        <v/>
      </c>
      <c r="L34" s="44"/>
      <c r="M34" s="44"/>
      <c r="N34" s="44"/>
      <c r="O34" s="57" t="str">
        <f t="shared" si="2"/>
        <v/>
      </c>
      <c r="P34" s="44"/>
      <c r="Q34" s="22"/>
      <c r="R34" s="22"/>
      <c r="S34" s="22"/>
    </row>
    <row r="35" spans="1:19" ht="14" x14ac:dyDescent="0.15">
      <c r="A35" s="43" t="s">
        <v>2567</v>
      </c>
      <c r="B35" s="22"/>
      <c r="C35" s="22"/>
      <c r="D35" s="22"/>
      <c r="E35" s="44"/>
      <c r="F35" s="75"/>
      <c r="G35" s="89" t="str">
        <f t="shared" si="0"/>
        <v/>
      </c>
      <c r="H35" s="45"/>
      <c r="I35" s="45"/>
      <c r="J35" s="87" t="str">
        <f t="shared" ca="1" si="1"/>
        <v/>
      </c>
      <c r="K35" s="57" t="str">
        <f ca="1">IF(ISNUMBER(J35),IF(J35&lt;0,"Expired",IF(J35&lt;=Engagement!$C$44,"Decision due","")),"")</f>
        <v/>
      </c>
      <c r="L35" s="44"/>
      <c r="M35" s="44"/>
      <c r="N35" s="44"/>
      <c r="O35" s="57" t="str">
        <f t="shared" si="2"/>
        <v/>
      </c>
      <c r="P35" s="44"/>
      <c r="Q35" s="22"/>
      <c r="R35" s="22"/>
      <c r="S35" s="22"/>
    </row>
    <row r="36" spans="1:19" ht="14" x14ac:dyDescent="0.15">
      <c r="A36" s="43" t="s">
        <v>2568</v>
      </c>
      <c r="B36" s="22"/>
      <c r="C36" s="22"/>
      <c r="D36" s="22"/>
      <c r="E36" s="44"/>
      <c r="F36" s="75"/>
      <c r="G36" s="89" t="str">
        <f t="shared" si="0"/>
        <v/>
      </c>
      <c r="H36" s="45"/>
      <c r="I36" s="45"/>
      <c r="J36" s="87" t="str">
        <f t="shared" ca="1" si="1"/>
        <v/>
      </c>
      <c r="K36" s="57" t="str">
        <f ca="1">IF(ISNUMBER(J36),IF(J36&lt;0,"Expired",IF(J36&lt;=Engagement!$C$44,"Decision due","")),"")</f>
        <v/>
      </c>
      <c r="L36" s="44"/>
      <c r="M36" s="44"/>
      <c r="N36" s="44"/>
      <c r="O36" s="57" t="str">
        <f t="shared" si="2"/>
        <v/>
      </c>
      <c r="P36" s="44"/>
      <c r="Q36" s="22"/>
      <c r="R36" s="22"/>
      <c r="S36" s="22"/>
    </row>
    <row r="37" spans="1:19" ht="14" x14ac:dyDescent="0.15">
      <c r="A37" s="43" t="s">
        <v>2569</v>
      </c>
      <c r="B37" s="22"/>
      <c r="C37" s="22"/>
      <c r="D37" s="22"/>
      <c r="E37" s="44"/>
      <c r="F37" s="75"/>
      <c r="G37" s="89" t="str">
        <f t="shared" si="0"/>
        <v/>
      </c>
      <c r="H37" s="45"/>
      <c r="I37" s="45"/>
      <c r="J37" s="87" t="str">
        <f t="shared" ca="1" si="1"/>
        <v/>
      </c>
      <c r="K37" s="57" t="str">
        <f ca="1">IF(ISNUMBER(J37),IF(J37&lt;0,"Expired",IF(J37&lt;=Engagement!$C$44,"Decision due","")),"")</f>
        <v/>
      </c>
      <c r="L37" s="44"/>
      <c r="M37" s="44"/>
      <c r="N37" s="44"/>
      <c r="O37" s="57" t="str">
        <f t="shared" si="2"/>
        <v/>
      </c>
      <c r="P37" s="44"/>
      <c r="Q37" s="22"/>
      <c r="R37" s="22"/>
      <c r="S37" s="22"/>
    </row>
    <row r="38" spans="1:19" ht="14" x14ac:dyDescent="0.15">
      <c r="A38" s="43" t="s">
        <v>2570</v>
      </c>
      <c r="B38" s="22"/>
      <c r="C38" s="22"/>
      <c r="D38" s="22"/>
      <c r="E38" s="44"/>
      <c r="F38" s="75"/>
      <c r="G38" s="89" t="str">
        <f t="shared" ref="G38:G69" si="3">IF(AND(ISNUMBER(F38),A38&lt;&gt;"Example"),IFERROR(F38/SUMIF($A$6:$A$106,"&lt;&gt;Example",$F$6:$F$106),""),"")</f>
        <v/>
      </c>
      <c r="H38" s="45"/>
      <c r="I38" s="45"/>
      <c r="J38" s="87" t="str">
        <f t="shared" ref="J38:J69" ca="1" si="4">IF(ISNUMBER(I38),I38-TODAY(),"")</f>
        <v/>
      </c>
      <c r="K38" s="57" t="str">
        <f ca="1">IF(ISNUMBER(J38),IF(J38&lt;0,"Expired",IF(J38&lt;=Engagement!$C$44,"Decision due","")),"")</f>
        <v/>
      </c>
      <c r="L38" s="44"/>
      <c r="M38" s="44"/>
      <c r="N38" s="44"/>
      <c r="O38" s="57" t="str">
        <f t="shared" ref="O38:O69" si="5">IF(AND(L38="",M38="",N38=""),"",IF(AND(M38="Yes",N38&lt;&gt;"Yes"),"High",IF(OR(M38="Yes",AND(L38="Yes",N38&lt;&gt;"Yes")),"Medium","Low")))</f>
        <v/>
      </c>
      <c r="P38" s="44"/>
      <c r="Q38" s="22"/>
      <c r="R38" s="22"/>
      <c r="S38" s="22"/>
    </row>
    <row r="39" spans="1:19" ht="14" x14ac:dyDescent="0.15">
      <c r="A39" s="43" t="s">
        <v>2571</v>
      </c>
      <c r="B39" s="22"/>
      <c r="C39" s="22"/>
      <c r="D39" s="22"/>
      <c r="E39" s="44"/>
      <c r="F39" s="75"/>
      <c r="G39" s="89" t="str">
        <f t="shared" si="3"/>
        <v/>
      </c>
      <c r="H39" s="45"/>
      <c r="I39" s="45"/>
      <c r="J39" s="87" t="str">
        <f t="shared" ca="1" si="4"/>
        <v/>
      </c>
      <c r="K39" s="57" t="str">
        <f ca="1">IF(ISNUMBER(J39),IF(J39&lt;0,"Expired",IF(J39&lt;=Engagement!$C$44,"Decision due","")),"")</f>
        <v/>
      </c>
      <c r="L39" s="44"/>
      <c r="M39" s="44"/>
      <c r="N39" s="44"/>
      <c r="O39" s="57" t="str">
        <f t="shared" si="5"/>
        <v/>
      </c>
      <c r="P39" s="44"/>
      <c r="Q39" s="22"/>
      <c r="R39" s="22"/>
      <c r="S39" s="22"/>
    </row>
    <row r="40" spans="1:19" ht="14" x14ac:dyDescent="0.15">
      <c r="A40" s="43" t="s">
        <v>2572</v>
      </c>
      <c r="B40" s="22"/>
      <c r="C40" s="22"/>
      <c r="D40" s="22"/>
      <c r="E40" s="44"/>
      <c r="F40" s="75"/>
      <c r="G40" s="89" t="str">
        <f t="shared" si="3"/>
        <v/>
      </c>
      <c r="H40" s="45"/>
      <c r="I40" s="45"/>
      <c r="J40" s="87" t="str">
        <f t="shared" ca="1" si="4"/>
        <v/>
      </c>
      <c r="K40" s="57" t="str">
        <f ca="1">IF(ISNUMBER(J40),IF(J40&lt;0,"Expired",IF(J40&lt;=Engagement!$C$44,"Decision due","")),"")</f>
        <v/>
      </c>
      <c r="L40" s="44"/>
      <c r="M40" s="44"/>
      <c r="N40" s="44"/>
      <c r="O40" s="57" t="str">
        <f t="shared" si="5"/>
        <v/>
      </c>
      <c r="P40" s="44"/>
      <c r="Q40" s="22"/>
      <c r="R40" s="22"/>
      <c r="S40" s="22"/>
    </row>
    <row r="41" spans="1:19" ht="14" x14ac:dyDescent="0.15">
      <c r="A41" s="43" t="s">
        <v>2573</v>
      </c>
      <c r="B41" s="22"/>
      <c r="C41" s="22"/>
      <c r="D41" s="22"/>
      <c r="E41" s="44"/>
      <c r="F41" s="75"/>
      <c r="G41" s="89" t="str">
        <f t="shared" si="3"/>
        <v/>
      </c>
      <c r="H41" s="45"/>
      <c r="I41" s="45"/>
      <c r="J41" s="87" t="str">
        <f t="shared" ca="1" si="4"/>
        <v/>
      </c>
      <c r="K41" s="57" t="str">
        <f ca="1">IF(ISNUMBER(J41),IF(J41&lt;0,"Expired",IF(J41&lt;=Engagement!$C$44,"Decision due","")),"")</f>
        <v/>
      </c>
      <c r="L41" s="44"/>
      <c r="M41" s="44"/>
      <c r="N41" s="44"/>
      <c r="O41" s="57" t="str">
        <f t="shared" si="5"/>
        <v/>
      </c>
      <c r="P41" s="44"/>
      <c r="Q41" s="22"/>
      <c r="R41" s="22"/>
      <c r="S41" s="22"/>
    </row>
    <row r="42" spans="1:19" ht="14" x14ac:dyDescent="0.15">
      <c r="A42" s="43" t="s">
        <v>2574</v>
      </c>
      <c r="B42" s="22"/>
      <c r="C42" s="22"/>
      <c r="D42" s="22"/>
      <c r="E42" s="44"/>
      <c r="F42" s="75"/>
      <c r="G42" s="89" t="str">
        <f t="shared" si="3"/>
        <v/>
      </c>
      <c r="H42" s="45"/>
      <c r="I42" s="45"/>
      <c r="J42" s="87" t="str">
        <f t="shared" ca="1" si="4"/>
        <v/>
      </c>
      <c r="K42" s="57" t="str">
        <f ca="1">IF(ISNUMBER(J42),IF(J42&lt;0,"Expired",IF(J42&lt;=Engagement!$C$44,"Decision due","")),"")</f>
        <v/>
      </c>
      <c r="L42" s="44"/>
      <c r="M42" s="44"/>
      <c r="N42" s="44"/>
      <c r="O42" s="57" t="str">
        <f t="shared" si="5"/>
        <v/>
      </c>
      <c r="P42" s="44"/>
      <c r="Q42" s="22"/>
      <c r="R42" s="22"/>
      <c r="S42" s="22"/>
    </row>
    <row r="43" spans="1:19" ht="14" x14ac:dyDescent="0.15">
      <c r="A43" s="43" t="s">
        <v>2575</v>
      </c>
      <c r="B43" s="22"/>
      <c r="C43" s="22"/>
      <c r="D43" s="22"/>
      <c r="E43" s="44"/>
      <c r="F43" s="75"/>
      <c r="G43" s="89" t="str">
        <f t="shared" si="3"/>
        <v/>
      </c>
      <c r="H43" s="45"/>
      <c r="I43" s="45"/>
      <c r="J43" s="87" t="str">
        <f t="shared" ca="1" si="4"/>
        <v/>
      </c>
      <c r="K43" s="57" t="str">
        <f ca="1">IF(ISNUMBER(J43),IF(J43&lt;0,"Expired",IF(J43&lt;=Engagement!$C$44,"Decision due","")),"")</f>
        <v/>
      </c>
      <c r="L43" s="44"/>
      <c r="M43" s="44"/>
      <c r="N43" s="44"/>
      <c r="O43" s="57" t="str">
        <f t="shared" si="5"/>
        <v/>
      </c>
      <c r="P43" s="44"/>
      <c r="Q43" s="22"/>
      <c r="R43" s="22"/>
      <c r="S43" s="22"/>
    </row>
    <row r="44" spans="1:19" ht="14" x14ac:dyDescent="0.15">
      <c r="A44" s="43" t="s">
        <v>2576</v>
      </c>
      <c r="B44" s="22"/>
      <c r="C44" s="22"/>
      <c r="D44" s="22"/>
      <c r="E44" s="44"/>
      <c r="F44" s="75"/>
      <c r="G44" s="89" t="str">
        <f t="shared" si="3"/>
        <v/>
      </c>
      <c r="H44" s="45"/>
      <c r="I44" s="45"/>
      <c r="J44" s="87" t="str">
        <f t="shared" ca="1" si="4"/>
        <v/>
      </c>
      <c r="K44" s="57" t="str">
        <f ca="1">IF(ISNUMBER(J44),IF(J44&lt;0,"Expired",IF(J44&lt;=Engagement!$C$44,"Decision due","")),"")</f>
        <v/>
      </c>
      <c r="L44" s="44"/>
      <c r="M44" s="44"/>
      <c r="N44" s="44"/>
      <c r="O44" s="57" t="str">
        <f t="shared" si="5"/>
        <v/>
      </c>
      <c r="P44" s="44"/>
      <c r="Q44" s="22"/>
      <c r="R44" s="22"/>
      <c r="S44" s="22"/>
    </row>
    <row r="45" spans="1:19" ht="14" x14ac:dyDescent="0.15">
      <c r="A45" s="43" t="s">
        <v>2577</v>
      </c>
      <c r="B45" s="22"/>
      <c r="C45" s="22"/>
      <c r="D45" s="22"/>
      <c r="E45" s="44"/>
      <c r="F45" s="75"/>
      <c r="G45" s="89" t="str">
        <f t="shared" si="3"/>
        <v/>
      </c>
      <c r="H45" s="45"/>
      <c r="I45" s="45"/>
      <c r="J45" s="87" t="str">
        <f t="shared" ca="1" si="4"/>
        <v/>
      </c>
      <c r="K45" s="57" t="str">
        <f ca="1">IF(ISNUMBER(J45),IF(J45&lt;0,"Expired",IF(J45&lt;=Engagement!$C$44,"Decision due","")),"")</f>
        <v/>
      </c>
      <c r="L45" s="44"/>
      <c r="M45" s="44"/>
      <c r="N45" s="44"/>
      <c r="O45" s="57" t="str">
        <f t="shared" si="5"/>
        <v/>
      </c>
      <c r="P45" s="44"/>
      <c r="Q45" s="22"/>
      <c r="R45" s="22"/>
      <c r="S45" s="22"/>
    </row>
    <row r="46" spans="1:19" ht="14" x14ac:dyDescent="0.15">
      <c r="A46" s="43" t="s">
        <v>2578</v>
      </c>
      <c r="B46" s="22"/>
      <c r="C46" s="22"/>
      <c r="D46" s="22"/>
      <c r="E46" s="44"/>
      <c r="F46" s="75"/>
      <c r="G46" s="89" t="str">
        <f t="shared" si="3"/>
        <v/>
      </c>
      <c r="H46" s="45"/>
      <c r="I46" s="45"/>
      <c r="J46" s="87" t="str">
        <f t="shared" ca="1" si="4"/>
        <v/>
      </c>
      <c r="K46" s="57" t="str">
        <f ca="1">IF(ISNUMBER(J46),IF(J46&lt;0,"Expired",IF(J46&lt;=Engagement!$C$44,"Decision due","")),"")</f>
        <v/>
      </c>
      <c r="L46" s="44"/>
      <c r="M46" s="44"/>
      <c r="N46" s="44"/>
      <c r="O46" s="57" t="str">
        <f t="shared" si="5"/>
        <v/>
      </c>
      <c r="P46" s="44"/>
      <c r="Q46" s="22"/>
      <c r="R46" s="22"/>
      <c r="S46" s="22"/>
    </row>
    <row r="47" spans="1:19" ht="14" x14ac:dyDescent="0.15">
      <c r="A47" s="43" t="s">
        <v>2579</v>
      </c>
      <c r="B47" s="22"/>
      <c r="C47" s="22"/>
      <c r="D47" s="22"/>
      <c r="E47" s="44"/>
      <c r="F47" s="75"/>
      <c r="G47" s="89" t="str">
        <f t="shared" si="3"/>
        <v/>
      </c>
      <c r="H47" s="45"/>
      <c r="I47" s="45"/>
      <c r="J47" s="87" t="str">
        <f t="shared" ca="1" si="4"/>
        <v/>
      </c>
      <c r="K47" s="57" t="str">
        <f ca="1">IF(ISNUMBER(J47),IF(J47&lt;0,"Expired",IF(J47&lt;=Engagement!$C$44,"Decision due","")),"")</f>
        <v/>
      </c>
      <c r="L47" s="44"/>
      <c r="M47" s="44"/>
      <c r="N47" s="44"/>
      <c r="O47" s="57" t="str">
        <f t="shared" si="5"/>
        <v/>
      </c>
      <c r="P47" s="44"/>
      <c r="Q47" s="22"/>
      <c r="R47" s="22"/>
      <c r="S47" s="22"/>
    </row>
    <row r="48" spans="1:19" ht="14" x14ac:dyDescent="0.15">
      <c r="A48" s="43" t="s">
        <v>2580</v>
      </c>
      <c r="B48" s="22"/>
      <c r="C48" s="22"/>
      <c r="D48" s="22"/>
      <c r="E48" s="44"/>
      <c r="F48" s="75"/>
      <c r="G48" s="89" t="str">
        <f t="shared" si="3"/>
        <v/>
      </c>
      <c r="H48" s="45"/>
      <c r="I48" s="45"/>
      <c r="J48" s="87" t="str">
        <f t="shared" ca="1" si="4"/>
        <v/>
      </c>
      <c r="K48" s="57" t="str">
        <f ca="1">IF(ISNUMBER(J48),IF(J48&lt;0,"Expired",IF(J48&lt;=Engagement!$C$44,"Decision due","")),"")</f>
        <v/>
      </c>
      <c r="L48" s="44"/>
      <c r="M48" s="44"/>
      <c r="N48" s="44"/>
      <c r="O48" s="57" t="str">
        <f t="shared" si="5"/>
        <v/>
      </c>
      <c r="P48" s="44"/>
      <c r="Q48" s="22"/>
      <c r="R48" s="22"/>
      <c r="S48" s="22"/>
    </row>
    <row r="49" spans="1:19" ht="14" x14ac:dyDescent="0.15">
      <c r="A49" s="43" t="s">
        <v>2581</v>
      </c>
      <c r="B49" s="22"/>
      <c r="C49" s="22"/>
      <c r="D49" s="22"/>
      <c r="E49" s="44"/>
      <c r="F49" s="75"/>
      <c r="G49" s="89" t="str">
        <f t="shared" si="3"/>
        <v/>
      </c>
      <c r="H49" s="45"/>
      <c r="I49" s="45"/>
      <c r="J49" s="87" t="str">
        <f t="shared" ca="1" si="4"/>
        <v/>
      </c>
      <c r="K49" s="57" t="str">
        <f ca="1">IF(ISNUMBER(J49),IF(J49&lt;0,"Expired",IF(J49&lt;=Engagement!$C$44,"Decision due","")),"")</f>
        <v/>
      </c>
      <c r="L49" s="44"/>
      <c r="M49" s="44"/>
      <c r="N49" s="44"/>
      <c r="O49" s="57" t="str">
        <f t="shared" si="5"/>
        <v/>
      </c>
      <c r="P49" s="44"/>
      <c r="Q49" s="22"/>
      <c r="R49" s="22"/>
      <c r="S49" s="22"/>
    </row>
    <row r="50" spans="1:19" ht="14" x14ac:dyDescent="0.15">
      <c r="A50" s="43" t="s">
        <v>2582</v>
      </c>
      <c r="B50" s="22"/>
      <c r="C50" s="22"/>
      <c r="D50" s="22"/>
      <c r="E50" s="44"/>
      <c r="F50" s="75"/>
      <c r="G50" s="89" t="str">
        <f t="shared" si="3"/>
        <v/>
      </c>
      <c r="H50" s="45"/>
      <c r="I50" s="45"/>
      <c r="J50" s="87" t="str">
        <f t="shared" ca="1" si="4"/>
        <v/>
      </c>
      <c r="K50" s="57" t="str">
        <f ca="1">IF(ISNUMBER(J50),IF(J50&lt;0,"Expired",IF(J50&lt;=Engagement!$C$44,"Decision due","")),"")</f>
        <v/>
      </c>
      <c r="L50" s="44"/>
      <c r="M50" s="44"/>
      <c r="N50" s="44"/>
      <c r="O50" s="57" t="str">
        <f t="shared" si="5"/>
        <v/>
      </c>
      <c r="P50" s="44"/>
      <c r="Q50" s="22"/>
      <c r="R50" s="22"/>
      <c r="S50" s="22"/>
    </row>
    <row r="51" spans="1:19" ht="14" x14ac:dyDescent="0.15">
      <c r="A51" s="43" t="s">
        <v>2583</v>
      </c>
      <c r="B51" s="22"/>
      <c r="C51" s="22"/>
      <c r="D51" s="22"/>
      <c r="E51" s="44"/>
      <c r="F51" s="75"/>
      <c r="G51" s="89" t="str">
        <f t="shared" si="3"/>
        <v/>
      </c>
      <c r="H51" s="45"/>
      <c r="I51" s="45"/>
      <c r="J51" s="87" t="str">
        <f t="shared" ca="1" si="4"/>
        <v/>
      </c>
      <c r="K51" s="57" t="str">
        <f ca="1">IF(ISNUMBER(J51),IF(J51&lt;0,"Expired",IF(J51&lt;=Engagement!$C$44,"Decision due","")),"")</f>
        <v/>
      </c>
      <c r="L51" s="44"/>
      <c r="M51" s="44"/>
      <c r="N51" s="44"/>
      <c r="O51" s="57" t="str">
        <f t="shared" si="5"/>
        <v/>
      </c>
      <c r="P51" s="44"/>
      <c r="Q51" s="22"/>
      <c r="R51" s="22"/>
      <c r="S51" s="22"/>
    </row>
    <row r="52" spans="1:19" ht="14" x14ac:dyDescent="0.15">
      <c r="A52" s="43" t="s">
        <v>2584</v>
      </c>
      <c r="B52" s="22"/>
      <c r="C52" s="22"/>
      <c r="D52" s="22"/>
      <c r="E52" s="44"/>
      <c r="F52" s="75"/>
      <c r="G52" s="89" t="str">
        <f t="shared" si="3"/>
        <v/>
      </c>
      <c r="H52" s="45"/>
      <c r="I52" s="45"/>
      <c r="J52" s="87" t="str">
        <f t="shared" ca="1" si="4"/>
        <v/>
      </c>
      <c r="K52" s="57" t="str">
        <f ca="1">IF(ISNUMBER(J52),IF(J52&lt;0,"Expired",IF(J52&lt;=Engagement!$C$44,"Decision due","")),"")</f>
        <v/>
      </c>
      <c r="L52" s="44"/>
      <c r="M52" s="44"/>
      <c r="N52" s="44"/>
      <c r="O52" s="57" t="str">
        <f t="shared" si="5"/>
        <v/>
      </c>
      <c r="P52" s="44"/>
      <c r="Q52" s="22"/>
      <c r="R52" s="22"/>
      <c r="S52" s="22"/>
    </row>
    <row r="53" spans="1:19" ht="14" x14ac:dyDescent="0.15">
      <c r="A53" s="43" t="s">
        <v>2585</v>
      </c>
      <c r="B53" s="22"/>
      <c r="C53" s="22"/>
      <c r="D53" s="22"/>
      <c r="E53" s="44"/>
      <c r="F53" s="75"/>
      <c r="G53" s="89" t="str">
        <f t="shared" si="3"/>
        <v/>
      </c>
      <c r="H53" s="45"/>
      <c r="I53" s="45"/>
      <c r="J53" s="87" t="str">
        <f t="shared" ca="1" si="4"/>
        <v/>
      </c>
      <c r="K53" s="57" t="str">
        <f ca="1">IF(ISNUMBER(J53),IF(J53&lt;0,"Expired",IF(J53&lt;=Engagement!$C$44,"Decision due","")),"")</f>
        <v/>
      </c>
      <c r="L53" s="44"/>
      <c r="M53" s="44"/>
      <c r="N53" s="44"/>
      <c r="O53" s="57" t="str">
        <f t="shared" si="5"/>
        <v/>
      </c>
      <c r="P53" s="44"/>
      <c r="Q53" s="22"/>
      <c r="R53" s="22"/>
      <c r="S53" s="22"/>
    </row>
    <row r="54" spans="1:19" ht="14" x14ac:dyDescent="0.15">
      <c r="A54" s="43" t="s">
        <v>2586</v>
      </c>
      <c r="B54" s="22"/>
      <c r="C54" s="22"/>
      <c r="D54" s="22"/>
      <c r="E54" s="44"/>
      <c r="F54" s="75"/>
      <c r="G54" s="89" t="str">
        <f t="shared" si="3"/>
        <v/>
      </c>
      <c r="H54" s="45"/>
      <c r="I54" s="45"/>
      <c r="J54" s="87" t="str">
        <f t="shared" ca="1" si="4"/>
        <v/>
      </c>
      <c r="K54" s="57" t="str">
        <f ca="1">IF(ISNUMBER(J54),IF(J54&lt;0,"Expired",IF(J54&lt;=Engagement!$C$44,"Decision due","")),"")</f>
        <v/>
      </c>
      <c r="L54" s="44"/>
      <c r="M54" s="44"/>
      <c r="N54" s="44"/>
      <c r="O54" s="57" t="str">
        <f t="shared" si="5"/>
        <v/>
      </c>
      <c r="P54" s="44"/>
      <c r="Q54" s="22"/>
      <c r="R54" s="22"/>
      <c r="S54" s="22"/>
    </row>
    <row r="55" spans="1:19" ht="14" x14ac:dyDescent="0.15">
      <c r="A55" s="43" t="s">
        <v>2587</v>
      </c>
      <c r="B55" s="22"/>
      <c r="C55" s="22"/>
      <c r="D55" s="22"/>
      <c r="E55" s="44"/>
      <c r="F55" s="75"/>
      <c r="G55" s="89" t="str">
        <f t="shared" si="3"/>
        <v/>
      </c>
      <c r="H55" s="45"/>
      <c r="I55" s="45"/>
      <c r="J55" s="87" t="str">
        <f t="shared" ca="1" si="4"/>
        <v/>
      </c>
      <c r="K55" s="57" t="str">
        <f ca="1">IF(ISNUMBER(J55),IF(J55&lt;0,"Expired",IF(J55&lt;=Engagement!$C$44,"Decision due","")),"")</f>
        <v/>
      </c>
      <c r="L55" s="44"/>
      <c r="M55" s="44"/>
      <c r="N55" s="44"/>
      <c r="O55" s="57" t="str">
        <f t="shared" si="5"/>
        <v/>
      </c>
      <c r="P55" s="44"/>
      <c r="Q55" s="22"/>
      <c r="R55" s="22"/>
      <c r="S55" s="22"/>
    </row>
    <row r="56" spans="1:19" ht="14" x14ac:dyDescent="0.15">
      <c r="A56" s="43" t="s">
        <v>2588</v>
      </c>
      <c r="B56" s="22"/>
      <c r="C56" s="22"/>
      <c r="D56" s="22"/>
      <c r="E56" s="44"/>
      <c r="F56" s="75"/>
      <c r="G56" s="89" t="str">
        <f t="shared" si="3"/>
        <v/>
      </c>
      <c r="H56" s="45"/>
      <c r="I56" s="45"/>
      <c r="J56" s="87" t="str">
        <f t="shared" ca="1" si="4"/>
        <v/>
      </c>
      <c r="K56" s="57" t="str">
        <f ca="1">IF(ISNUMBER(J56),IF(J56&lt;0,"Expired",IF(J56&lt;=Engagement!$C$44,"Decision due","")),"")</f>
        <v/>
      </c>
      <c r="L56" s="44"/>
      <c r="M56" s="44"/>
      <c r="N56" s="44"/>
      <c r="O56" s="57" t="str">
        <f t="shared" si="5"/>
        <v/>
      </c>
      <c r="P56" s="44"/>
      <c r="Q56" s="22"/>
      <c r="R56" s="22"/>
      <c r="S56" s="22"/>
    </row>
    <row r="57" spans="1:19" ht="14" x14ac:dyDescent="0.15">
      <c r="A57" s="43" t="s">
        <v>2589</v>
      </c>
      <c r="B57" s="22"/>
      <c r="C57" s="22"/>
      <c r="D57" s="22"/>
      <c r="E57" s="44"/>
      <c r="F57" s="75"/>
      <c r="G57" s="89" t="str">
        <f t="shared" si="3"/>
        <v/>
      </c>
      <c r="H57" s="45"/>
      <c r="I57" s="45"/>
      <c r="J57" s="87" t="str">
        <f t="shared" ca="1" si="4"/>
        <v/>
      </c>
      <c r="K57" s="57" t="str">
        <f ca="1">IF(ISNUMBER(J57),IF(J57&lt;0,"Expired",IF(J57&lt;=Engagement!$C$44,"Decision due","")),"")</f>
        <v/>
      </c>
      <c r="L57" s="44"/>
      <c r="M57" s="44"/>
      <c r="N57" s="44"/>
      <c r="O57" s="57" t="str">
        <f t="shared" si="5"/>
        <v/>
      </c>
      <c r="P57" s="44"/>
      <c r="Q57" s="22"/>
      <c r="R57" s="22"/>
      <c r="S57" s="22"/>
    </row>
    <row r="58" spans="1:19" ht="14" x14ac:dyDescent="0.15">
      <c r="A58" s="43" t="s">
        <v>2590</v>
      </c>
      <c r="B58" s="22"/>
      <c r="C58" s="22"/>
      <c r="D58" s="22"/>
      <c r="E58" s="44"/>
      <c r="F58" s="75"/>
      <c r="G58" s="89" t="str">
        <f t="shared" si="3"/>
        <v/>
      </c>
      <c r="H58" s="45"/>
      <c r="I58" s="45"/>
      <c r="J58" s="87" t="str">
        <f t="shared" ca="1" si="4"/>
        <v/>
      </c>
      <c r="K58" s="57" t="str">
        <f ca="1">IF(ISNUMBER(J58),IF(J58&lt;0,"Expired",IF(J58&lt;=Engagement!$C$44,"Decision due","")),"")</f>
        <v/>
      </c>
      <c r="L58" s="44"/>
      <c r="M58" s="44"/>
      <c r="N58" s="44"/>
      <c r="O58" s="57" t="str">
        <f t="shared" si="5"/>
        <v/>
      </c>
      <c r="P58" s="44"/>
      <c r="Q58" s="22"/>
      <c r="R58" s="22"/>
      <c r="S58" s="22"/>
    </row>
    <row r="59" spans="1:19" ht="14" x14ac:dyDescent="0.15">
      <c r="A59" s="43" t="s">
        <v>2591</v>
      </c>
      <c r="B59" s="22"/>
      <c r="C59" s="22"/>
      <c r="D59" s="22"/>
      <c r="E59" s="44"/>
      <c r="F59" s="75"/>
      <c r="G59" s="89" t="str">
        <f t="shared" si="3"/>
        <v/>
      </c>
      <c r="H59" s="45"/>
      <c r="I59" s="45"/>
      <c r="J59" s="87" t="str">
        <f t="shared" ca="1" si="4"/>
        <v/>
      </c>
      <c r="K59" s="57" t="str">
        <f ca="1">IF(ISNUMBER(J59),IF(J59&lt;0,"Expired",IF(J59&lt;=Engagement!$C$44,"Decision due","")),"")</f>
        <v/>
      </c>
      <c r="L59" s="44"/>
      <c r="M59" s="44"/>
      <c r="N59" s="44"/>
      <c r="O59" s="57" t="str">
        <f t="shared" si="5"/>
        <v/>
      </c>
      <c r="P59" s="44"/>
      <c r="Q59" s="22"/>
      <c r="R59" s="22"/>
      <c r="S59" s="22"/>
    </row>
    <row r="60" spans="1:19" ht="14" x14ac:dyDescent="0.15">
      <c r="A60" s="43" t="s">
        <v>2592</v>
      </c>
      <c r="B60" s="22"/>
      <c r="C60" s="22"/>
      <c r="D60" s="22"/>
      <c r="E60" s="44"/>
      <c r="F60" s="75"/>
      <c r="G60" s="89" t="str">
        <f t="shared" si="3"/>
        <v/>
      </c>
      <c r="H60" s="45"/>
      <c r="I60" s="45"/>
      <c r="J60" s="87" t="str">
        <f t="shared" ca="1" si="4"/>
        <v/>
      </c>
      <c r="K60" s="57" t="str">
        <f ca="1">IF(ISNUMBER(J60),IF(J60&lt;0,"Expired",IF(J60&lt;=Engagement!$C$44,"Decision due","")),"")</f>
        <v/>
      </c>
      <c r="L60" s="44"/>
      <c r="M60" s="44"/>
      <c r="N60" s="44"/>
      <c r="O60" s="57" t="str">
        <f t="shared" si="5"/>
        <v/>
      </c>
      <c r="P60" s="44"/>
      <c r="Q60" s="22"/>
      <c r="R60" s="22"/>
      <c r="S60" s="22"/>
    </row>
    <row r="61" spans="1:19" ht="14" x14ac:dyDescent="0.15">
      <c r="A61" s="43" t="s">
        <v>2593</v>
      </c>
      <c r="B61" s="22"/>
      <c r="C61" s="22"/>
      <c r="D61" s="22"/>
      <c r="E61" s="44"/>
      <c r="F61" s="75"/>
      <c r="G61" s="89" t="str">
        <f t="shared" si="3"/>
        <v/>
      </c>
      <c r="H61" s="45"/>
      <c r="I61" s="45"/>
      <c r="J61" s="87" t="str">
        <f t="shared" ca="1" si="4"/>
        <v/>
      </c>
      <c r="K61" s="57" t="str">
        <f ca="1">IF(ISNUMBER(J61),IF(J61&lt;0,"Expired",IF(J61&lt;=Engagement!$C$44,"Decision due","")),"")</f>
        <v/>
      </c>
      <c r="L61" s="44"/>
      <c r="M61" s="44"/>
      <c r="N61" s="44"/>
      <c r="O61" s="57" t="str">
        <f t="shared" si="5"/>
        <v/>
      </c>
      <c r="P61" s="44"/>
      <c r="Q61" s="22"/>
      <c r="R61" s="22"/>
      <c r="S61" s="22"/>
    </row>
    <row r="62" spans="1:19" ht="14" x14ac:dyDescent="0.15">
      <c r="A62" s="43" t="s">
        <v>2594</v>
      </c>
      <c r="B62" s="22"/>
      <c r="C62" s="22"/>
      <c r="D62" s="22"/>
      <c r="E62" s="44"/>
      <c r="F62" s="75"/>
      <c r="G62" s="89" t="str">
        <f t="shared" si="3"/>
        <v/>
      </c>
      <c r="H62" s="45"/>
      <c r="I62" s="45"/>
      <c r="J62" s="87" t="str">
        <f t="shared" ca="1" si="4"/>
        <v/>
      </c>
      <c r="K62" s="57" t="str">
        <f ca="1">IF(ISNUMBER(J62),IF(J62&lt;0,"Expired",IF(J62&lt;=Engagement!$C$44,"Decision due","")),"")</f>
        <v/>
      </c>
      <c r="L62" s="44"/>
      <c r="M62" s="44"/>
      <c r="N62" s="44"/>
      <c r="O62" s="57" t="str">
        <f t="shared" si="5"/>
        <v/>
      </c>
      <c r="P62" s="44"/>
      <c r="Q62" s="22"/>
      <c r="R62" s="22"/>
      <c r="S62" s="22"/>
    </row>
    <row r="63" spans="1:19" ht="14" x14ac:dyDescent="0.15">
      <c r="A63" s="43" t="s">
        <v>2595</v>
      </c>
      <c r="B63" s="22"/>
      <c r="C63" s="22"/>
      <c r="D63" s="22"/>
      <c r="E63" s="44"/>
      <c r="F63" s="75"/>
      <c r="G63" s="89" t="str">
        <f t="shared" si="3"/>
        <v/>
      </c>
      <c r="H63" s="45"/>
      <c r="I63" s="45"/>
      <c r="J63" s="87" t="str">
        <f t="shared" ca="1" si="4"/>
        <v/>
      </c>
      <c r="K63" s="57" t="str">
        <f ca="1">IF(ISNUMBER(J63),IF(J63&lt;0,"Expired",IF(J63&lt;=Engagement!$C$44,"Decision due","")),"")</f>
        <v/>
      </c>
      <c r="L63" s="44"/>
      <c r="M63" s="44"/>
      <c r="N63" s="44"/>
      <c r="O63" s="57" t="str">
        <f t="shared" si="5"/>
        <v/>
      </c>
      <c r="P63" s="44"/>
      <c r="Q63" s="22"/>
      <c r="R63" s="22"/>
      <c r="S63" s="22"/>
    </row>
    <row r="64" spans="1:19" ht="14" x14ac:dyDescent="0.15">
      <c r="A64" s="43" t="s">
        <v>2596</v>
      </c>
      <c r="B64" s="22"/>
      <c r="C64" s="22"/>
      <c r="D64" s="22"/>
      <c r="E64" s="44"/>
      <c r="F64" s="75"/>
      <c r="G64" s="89" t="str">
        <f t="shared" si="3"/>
        <v/>
      </c>
      <c r="H64" s="45"/>
      <c r="I64" s="45"/>
      <c r="J64" s="87" t="str">
        <f t="shared" ca="1" si="4"/>
        <v/>
      </c>
      <c r="K64" s="57" t="str">
        <f ca="1">IF(ISNUMBER(J64),IF(J64&lt;0,"Expired",IF(J64&lt;=Engagement!$C$44,"Decision due","")),"")</f>
        <v/>
      </c>
      <c r="L64" s="44"/>
      <c r="M64" s="44"/>
      <c r="N64" s="44"/>
      <c r="O64" s="57" t="str">
        <f t="shared" si="5"/>
        <v/>
      </c>
      <c r="P64" s="44"/>
      <c r="Q64" s="22"/>
      <c r="R64" s="22"/>
      <c r="S64" s="22"/>
    </row>
    <row r="65" spans="1:19" ht="14" x14ac:dyDescent="0.15">
      <c r="A65" s="43" t="s">
        <v>2597</v>
      </c>
      <c r="B65" s="22"/>
      <c r="C65" s="22"/>
      <c r="D65" s="22"/>
      <c r="E65" s="44"/>
      <c r="F65" s="75"/>
      <c r="G65" s="89" t="str">
        <f t="shared" si="3"/>
        <v/>
      </c>
      <c r="H65" s="45"/>
      <c r="I65" s="45"/>
      <c r="J65" s="87" t="str">
        <f t="shared" ca="1" si="4"/>
        <v/>
      </c>
      <c r="K65" s="57" t="str">
        <f ca="1">IF(ISNUMBER(J65),IF(J65&lt;0,"Expired",IF(J65&lt;=Engagement!$C$44,"Decision due","")),"")</f>
        <v/>
      </c>
      <c r="L65" s="44"/>
      <c r="M65" s="44"/>
      <c r="N65" s="44"/>
      <c r="O65" s="57" t="str">
        <f t="shared" si="5"/>
        <v/>
      </c>
      <c r="P65" s="44"/>
      <c r="Q65" s="22"/>
      <c r="R65" s="22"/>
      <c r="S65" s="22"/>
    </row>
    <row r="66" spans="1:19" ht="14" x14ac:dyDescent="0.15">
      <c r="A66" s="43" t="s">
        <v>2598</v>
      </c>
      <c r="B66" s="22"/>
      <c r="C66" s="22"/>
      <c r="D66" s="22"/>
      <c r="E66" s="44"/>
      <c r="F66" s="75"/>
      <c r="G66" s="89" t="str">
        <f t="shared" si="3"/>
        <v/>
      </c>
      <c r="H66" s="45"/>
      <c r="I66" s="45"/>
      <c r="J66" s="87" t="str">
        <f t="shared" ca="1" si="4"/>
        <v/>
      </c>
      <c r="K66" s="57" t="str">
        <f ca="1">IF(ISNUMBER(J66),IF(J66&lt;0,"Expired",IF(J66&lt;=Engagement!$C$44,"Decision due","")),"")</f>
        <v/>
      </c>
      <c r="L66" s="44"/>
      <c r="M66" s="44"/>
      <c r="N66" s="44"/>
      <c r="O66" s="57" t="str">
        <f t="shared" si="5"/>
        <v/>
      </c>
      <c r="P66" s="44"/>
      <c r="Q66" s="22"/>
      <c r="R66" s="22"/>
      <c r="S66" s="22"/>
    </row>
    <row r="67" spans="1:19" ht="14" x14ac:dyDescent="0.15">
      <c r="A67" s="43" t="s">
        <v>2599</v>
      </c>
      <c r="B67" s="22"/>
      <c r="C67" s="22"/>
      <c r="D67" s="22"/>
      <c r="E67" s="44"/>
      <c r="F67" s="75"/>
      <c r="G67" s="89" t="str">
        <f t="shared" si="3"/>
        <v/>
      </c>
      <c r="H67" s="45"/>
      <c r="I67" s="45"/>
      <c r="J67" s="87" t="str">
        <f t="shared" ca="1" si="4"/>
        <v/>
      </c>
      <c r="K67" s="57" t="str">
        <f ca="1">IF(ISNUMBER(J67),IF(J67&lt;0,"Expired",IF(J67&lt;=Engagement!$C$44,"Decision due","")),"")</f>
        <v/>
      </c>
      <c r="L67" s="44"/>
      <c r="M67" s="44"/>
      <c r="N67" s="44"/>
      <c r="O67" s="57" t="str">
        <f t="shared" si="5"/>
        <v/>
      </c>
      <c r="P67" s="44"/>
      <c r="Q67" s="22"/>
      <c r="R67" s="22"/>
      <c r="S67" s="22"/>
    </row>
    <row r="68" spans="1:19" ht="14" x14ac:dyDescent="0.15">
      <c r="A68" s="43" t="s">
        <v>2600</v>
      </c>
      <c r="B68" s="22"/>
      <c r="C68" s="22"/>
      <c r="D68" s="22"/>
      <c r="E68" s="44"/>
      <c r="F68" s="75"/>
      <c r="G68" s="89" t="str">
        <f t="shared" si="3"/>
        <v/>
      </c>
      <c r="H68" s="45"/>
      <c r="I68" s="45"/>
      <c r="J68" s="87" t="str">
        <f t="shared" ca="1" si="4"/>
        <v/>
      </c>
      <c r="K68" s="57" t="str">
        <f ca="1">IF(ISNUMBER(J68),IF(J68&lt;0,"Expired",IF(J68&lt;=Engagement!$C$44,"Decision due","")),"")</f>
        <v/>
      </c>
      <c r="L68" s="44"/>
      <c r="M68" s="44"/>
      <c r="N68" s="44"/>
      <c r="O68" s="57" t="str">
        <f t="shared" si="5"/>
        <v/>
      </c>
      <c r="P68" s="44"/>
      <c r="Q68" s="22"/>
      <c r="R68" s="22"/>
      <c r="S68" s="22"/>
    </row>
    <row r="69" spans="1:19" ht="14" x14ac:dyDescent="0.15">
      <c r="A69" s="43" t="s">
        <v>2601</v>
      </c>
      <c r="B69" s="22"/>
      <c r="C69" s="22"/>
      <c r="D69" s="22"/>
      <c r="E69" s="44"/>
      <c r="F69" s="75"/>
      <c r="G69" s="89" t="str">
        <f t="shared" si="3"/>
        <v/>
      </c>
      <c r="H69" s="45"/>
      <c r="I69" s="45"/>
      <c r="J69" s="87" t="str">
        <f t="shared" ca="1" si="4"/>
        <v/>
      </c>
      <c r="K69" s="57" t="str">
        <f ca="1">IF(ISNUMBER(J69),IF(J69&lt;0,"Expired",IF(J69&lt;=Engagement!$C$44,"Decision due","")),"")</f>
        <v/>
      </c>
      <c r="L69" s="44"/>
      <c r="M69" s="44"/>
      <c r="N69" s="44"/>
      <c r="O69" s="57" t="str">
        <f t="shared" si="5"/>
        <v/>
      </c>
      <c r="P69" s="44"/>
      <c r="Q69" s="22"/>
      <c r="R69" s="22"/>
      <c r="S69" s="22"/>
    </row>
    <row r="70" spans="1:19" ht="14" x14ac:dyDescent="0.15">
      <c r="A70" s="43" t="s">
        <v>2602</v>
      </c>
      <c r="B70" s="22"/>
      <c r="C70" s="22"/>
      <c r="D70" s="22"/>
      <c r="E70" s="44"/>
      <c r="F70" s="75"/>
      <c r="G70" s="89" t="str">
        <f t="shared" ref="G70:G101" si="6">IF(AND(ISNUMBER(F70),A70&lt;&gt;"Example"),IFERROR(F70/SUMIF($A$6:$A$106,"&lt;&gt;Example",$F$6:$F$106),""),"")</f>
        <v/>
      </c>
      <c r="H70" s="45"/>
      <c r="I70" s="45"/>
      <c r="J70" s="87" t="str">
        <f t="shared" ref="J70:J101" ca="1" si="7">IF(ISNUMBER(I70),I70-TODAY(),"")</f>
        <v/>
      </c>
      <c r="K70" s="57" t="str">
        <f ca="1">IF(ISNUMBER(J70),IF(J70&lt;0,"Expired",IF(J70&lt;=Engagement!$C$44,"Decision due","")),"")</f>
        <v/>
      </c>
      <c r="L70" s="44"/>
      <c r="M70" s="44"/>
      <c r="N70" s="44"/>
      <c r="O70" s="57" t="str">
        <f t="shared" ref="O70:O101" si="8">IF(AND(L70="",M70="",N70=""),"",IF(AND(M70="Yes",N70&lt;&gt;"Yes"),"High",IF(OR(M70="Yes",AND(L70="Yes",N70&lt;&gt;"Yes")),"Medium","Low")))</f>
        <v/>
      </c>
      <c r="P70" s="44"/>
      <c r="Q70" s="22"/>
      <c r="R70" s="22"/>
      <c r="S70" s="22"/>
    </row>
    <row r="71" spans="1:19" ht="14" x14ac:dyDescent="0.15">
      <c r="A71" s="43" t="s">
        <v>2603</v>
      </c>
      <c r="B71" s="22"/>
      <c r="C71" s="22"/>
      <c r="D71" s="22"/>
      <c r="E71" s="44"/>
      <c r="F71" s="75"/>
      <c r="G71" s="89" t="str">
        <f t="shared" si="6"/>
        <v/>
      </c>
      <c r="H71" s="45"/>
      <c r="I71" s="45"/>
      <c r="J71" s="87" t="str">
        <f t="shared" ca="1" si="7"/>
        <v/>
      </c>
      <c r="K71" s="57" t="str">
        <f ca="1">IF(ISNUMBER(J71),IF(J71&lt;0,"Expired",IF(J71&lt;=Engagement!$C$44,"Decision due","")),"")</f>
        <v/>
      </c>
      <c r="L71" s="44"/>
      <c r="M71" s="44"/>
      <c r="N71" s="44"/>
      <c r="O71" s="57" t="str">
        <f t="shared" si="8"/>
        <v/>
      </c>
      <c r="P71" s="44"/>
      <c r="Q71" s="22"/>
      <c r="R71" s="22"/>
      <c r="S71" s="22"/>
    </row>
    <row r="72" spans="1:19" ht="14" x14ac:dyDescent="0.15">
      <c r="A72" s="43" t="s">
        <v>2604</v>
      </c>
      <c r="B72" s="22"/>
      <c r="C72" s="22"/>
      <c r="D72" s="22"/>
      <c r="E72" s="44"/>
      <c r="F72" s="75"/>
      <c r="G72" s="89" t="str">
        <f t="shared" si="6"/>
        <v/>
      </c>
      <c r="H72" s="45"/>
      <c r="I72" s="45"/>
      <c r="J72" s="87" t="str">
        <f t="shared" ca="1" si="7"/>
        <v/>
      </c>
      <c r="K72" s="57" t="str">
        <f ca="1">IF(ISNUMBER(J72),IF(J72&lt;0,"Expired",IF(J72&lt;=Engagement!$C$44,"Decision due","")),"")</f>
        <v/>
      </c>
      <c r="L72" s="44"/>
      <c r="M72" s="44"/>
      <c r="N72" s="44"/>
      <c r="O72" s="57" t="str">
        <f t="shared" si="8"/>
        <v/>
      </c>
      <c r="P72" s="44"/>
      <c r="Q72" s="22"/>
      <c r="R72" s="22"/>
      <c r="S72" s="22"/>
    </row>
    <row r="73" spans="1:19" ht="14" x14ac:dyDescent="0.15">
      <c r="A73" s="43" t="s">
        <v>2605</v>
      </c>
      <c r="B73" s="22"/>
      <c r="C73" s="22"/>
      <c r="D73" s="22"/>
      <c r="E73" s="44"/>
      <c r="F73" s="75"/>
      <c r="G73" s="89" t="str">
        <f t="shared" si="6"/>
        <v/>
      </c>
      <c r="H73" s="45"/>
      <c r="I73" s="45"/>
      <c r="J73" s="87" t="str">
        <f t="shared" ca="1" si="7"/>
        <v/>
      </c>
      <c r="K73" s="57" t="str">
        <f ca="1">IF(ISNUMBER(J73),IF(J73&lt;0,"Expired",IF(J73&lt;=Engagement!$C$44,"Decision due","")),"")</f>
        <v/>
      </c>
      <c r="L73" s="44"/>
      <c r="M73" s="44"/>
      <c r="N73" s="44"/>
      <c r="O73" s="57" t="str">
        <f t="shared" si="8"/>
        <v/>
      </c>
      <c r="P73" s="44"/>
      <c r="Q73" s="22"/>
      <c r="R73" s="22"/>
      <c r="S73" s="22"/>
    </row>
    <row r="74" spans="1:19" ht="14" x14ac:dyDescent="0.15">
      <c r="A74" s="43" t="s">
        <v>2606</v>
      </c>
      <c r="B74" s="22"/>
      <c r="C74" s="22"/>
      <c r="D74" s="22"/>
      <c r="E74" s="44"/>
      <c r="F74" s="75"/>
      <c r="G74" s="89" t="str">
        <f t="shared" si="6"/>
        <v/>
      </c>
      <c r="H74" s="45"/>
      <c r="I74" s="45"/>
      <c r="J74" s="87" t="str">
        <f t="shared" ca="1" si="7"/>
        <v/>
      </c>
      <c r="K74" s="57" t="str">
        <f ca="1">IF(ISNUMBER(J74),IF(J74&lt;0,"Expired",IF(J74&lt;=Engagement!$C$44,"Decision due","")),"")</f>
        <v/>
      </c>
      <c r="L74" s="44"/>
      <c r="M74" s="44"/>
      <c r="N74" s="44"/>
      <c r="O74" s="57" t="str">
        <f t="shared" si="8"/>
        <v/>
      </c>
      <c r="P74" s="44"/>
      <c r="Q74" s="22"/>
      <c r="R74" s="22"/>
      <c r="S74" s="22"/>
    </row>
    <row r="75" spans="1:19" ht="14" x14ac:dyDescent="0.15">
      <c r="A75" s="43" t="s">
        <v>2607</v>
      </c>
      <c r="B75" s="22"/>
      <c r="C75" s="22"/>
      <c r="D75" s="22"/>
      <c r="E75" s="44"/>
      <c r="F75" s="75"/>
      <c r="G75" s="89" t="str">
        <f t="shared" si="6"/>
        <v/>
      </c>
      <c r="H75" s="45"/>
      <c r="I75" s="45"/>
      <c r="J75" s="87" t="str">
        <f t="shared" ca="1" si="7"/>
        <v/>
      </c>
      <c r="K75" s="57" t="str">
        <f ca="1">IF(ISNUMBER(J75),IF(J75&lt;0,"Expired",IF(J75&lt;=Engagement!$C$44,"Decision due","")),"")</f>
        <v/>
      </c>
      <c r="L75" s="44"/>
      <c r="M75" s="44"/>
      <c r="N75" s="44"/>
      <c r="O75" s="57" t="str">
        <f t="shared" si="8"/>
        <v/>
      </c>
      <c r="P75" s="44"/>
      <c r="Q75" s="22"/>
      <c r="R75" s="22"/>
      <c r="S75" s="22"/>
    </row>
    <row r="76" spans="1:19" ht="14" x14ac:dyDescent="0.15">
      <c r="A76" s="43" t="s">
        <v>2608</v>
      </c>
      <c r="B76" s="22"/>
      <c r="C76" s="22"/>
      <c r="D76" s="22"/>
      <c r="E76" s="44"/>
      <c r="F76" s="75"/>
      <c r="G76" s="89" t="str">
        <f t="shared" si="6"/>
        <v/>
      </c>
      <c r="H76" s="45"/>
      <c r="I76" s="45"/>
      <c r="J76" s="87" t="str">
        <f t="shared" ca="1" si="7"/>
        <v/>
      </c>
      <c r="K76" s="57" t="str">
        <f ca="1">IF(ISNUMBER(J76),IF(J76&lt;0,"Expired",IF(J76&lt;=Engagement!$C$44,"Decision due","")),"")</f>
        <v/>
      </c>
      <c r="L76" s="44"/>
      <c r="M76" s="44"/>
      <c r="N76" s="44"/>
      <c r="O76" s="57" t="str">
        <f t="shared" si="8"/>
        <v/>
      </c>
      <c r="P76" s="44"/>
      <c r="Q76" s="22"/>
      <c r="R76" s="22"/>
      <c r="S76" s="22"/>
    </row>
    <row r="77" spans="1:19" ht="14" x14ac:dyDescent="0.15">
      <c r="A77" s="43" t="s">
        <v>2609</v>
      </c>
      <c r="B77" s="22"/>
      <c r="C77" s="22"/>
      <c r="D77" s="22"/>
      <c r="E77" s="44"/>
      <c r="F77" s="75"/>
      <c r="G77" s="89" t="str">
        <f t="shared" si="6"/>
        <v/>
      </c>
      <c r="H77" s="45"/>
      <c r="I77" s="45"/>
      <c r="J77" s="87" t="str">
        <f t="shared" ca="1" si="7"/>
        <v/>
      </c>
      <c r="K77" s="57" t="str">
        <f ca="1">IF(ISNUMBER(J77),IF(J77&lt;0,"Expired",IF(J77&lt;=Engagement!$C$44,"Decision due","")),"")</f>
        <v/>
      </c>
      <c r="L77" s="44"/>
      <c r="M77" s="44"/>
      <c r="N77" s="44"/>
      <c r="O77" s="57" t="str">
        <f t="shared" si="8"/>
        <v/>
      </c>
      <c r="P77" s="44"/>
      <c r="Q77" s="22"/>
      <c r="R77" s="22"/>
      <c r="S77" s="22"/>
    </row>
    <row r="78" spans="1:19" ht="14" x14ac:dyDescent="0.15">
      <c r="A78" s="43" t="s">
        <v>2610</v>
      </c>
      <c r="B78" s="22"/>
      <c r="C78" s="22"/>
      <c r="D78" s="22"/>
      <c r="E78" s="44"/>
      <c r="F78" s="75"/>
      <c r="G78" s="89" t="str">
        <f t="shared" si="6"/>
        <v/>
      </c>
      <c r="H78" s="45"/>
      <c r="I78" s="45"/>
      <c r="J78" s="87" t="str">
        <f t="shared" ca="1" si="7"/>
        <v/>
      </c>
      <c r="K78" s="57" t="str">
        <f ca="1">IF(ISNUMBER(J78),IF(J78&lt;0,"Expired",IF(J78&lt;=Engagement!$C$44,"Decision due","")),"")</f>
        <v/>
      </c>
      <c r="L78" s="44"/>
      <c r="M78" s="44"/>
      <c r="N78" s="44"/>
      <c r="O78" s="57" t="str">
        <f t="shared" si="8"/>
        <v/>
      </c>
      <c r="P78" s="44"/>
      <c r="Q78" s="22"/>
      <c r="R78" s="22"/>
      <c r="S78" s="22"/>
    </row>
    <row r="79" spans="1:19" ht="14" x14ac:dyDescent="0.15">
      <c r="A79" s="43" t="s">
        <v>2611</v>
      </c>
      <c r="B79" s="22"/>
      <c r="C79" s="22"/>
      <c r="D79" s="22"/>
      <c r="E79" s="44"/>
      <c r="F79" s="75"/>
      <c r="G79" s="89" t="str">
        <f t="shared" si="6"/>
        <v/>
      </c>
      <c r="H79" s="45"/>
      <c r="I79" s="45"/>
      <c r="J79" s="87" t="str">
        <f t="shared" ca="1" si="7"/>
        <v/>
      </c>
      <c r="K79" s="57" t="str">
        <f ca="1">IF(ISNUMBER(J79),IF(J79&lt;0,"Expired",IF(J79&lt;=Engagement!$C$44,"Decision due","")),"")</f>
        <v/>
      </c>
      <c r="L79" s="44"/>
      <c r="M79" s="44"/>
      <c r="N79" s="44"/>
      <c r="O79" s="57" t="str">
        <f t="shared" si="8"/>
        <v/>
      </c>
      <c r="P79" s="44"/>
      <c r="Q79" s="22"/>
      <c r="R79" s="22"/>
      <c r="S79" s="22"/>
    </row>
    <row r="80" spans="1:19" ht="14" x14ac:dyDescent="0.15">
      <c r="A80" s="43" t="s">
        <v>2612</v>
      </c>
      <c r="B80" s="22"/>
      <c r="C80" s="22"/>
      <c r="D80" s="22"/>
      <c r="E80" s="44"/>
      <c r="F80" s="75"/>
      <c r="G80" s="89" t="str">
        <f t="shared" si="6"/>
        <v/>
      </c>
      <c r="H80" s="45"/>
      <c r="I80" s="45"/>
      <c r="J80" s="87" t="str">
        <f t="shared" ca="1" si="7"/>
        <v/>
      </c>
      <c r="K80" s="57" t="str">
        <f ca="1">IF(ISNUMBER(J80),IF(J80&lt;0,"Expired",IF(J80&lt;=Engagement!$C$44,"Decision due","")),"")</f>
        <v/>
      </c>
      <c r="L80" s="44"/>
      <c r="M80" s="44"/>
      <c r="N80" s="44"/>
      <c r="O80" s="57" t="str">
        <f t="shared" si="8"/>
        <v/>
      </c>
      <c r="P80" s="44"/>
      <c r="Q80" s="22"/>
      <c r="R80" s="22"/>
      <c r="S80" s="22"/>
    </row>
    <row r="81" spans="1:19" ht="14" x14ac:dyDescent="0.15">
      <c r="A81" s="43" t="s">
        <v>2613</v>
      </c>
      <c r="B81" s="22"/>
      <c r="C81" s="22"/>
      <c r="D81" s="22"/>
      <c r="E81" s="44"/>
      <c r="F81" s="75"/>
      <c r="G81" s="89" t="str">
        <f t="shared" si="6"/>
        <v/>
      </c>
      <c r="H81" s="45"/>
      <c r="I81" s="45"/>
      <c r="J81" s="87" t="str">
        <f t="shared" ca="1" si="7"/>
        <v/>
      </c>
      <c r="K81" s="57" t="str">
        <f ca="1">IF(ISNUMBER(J81),IF(J81&lt;0,"Expired",IF(J81&lt;=Engagement!$C$44,"Decision due","")),"")</f>
        <v/>
      </c>
      <c r="L81" s="44"/>
      <c r="M81" s="44"/>
      <c r="N81" s="44"/>
      <c r="O81" s="57" t="str">
        <f t="shared" si="8"/>
        <v/>
      </c>
      <c r="P81" s="44"/>
      <c r="Q81" s="22"/>
      <c r="R81" s="22"/>
      <c r="S81" s="22"/>
    </row>
    <row r="82" spans="1:19" ht="14" x14ac:dyDescent="0.15">
      <c r="A82" s="43" t="s">
        <v>2614</v>
      </c>
      <c r="B82" s="22"/>
      <c r="C82" s="22"/>
      <c r="D82" s="22"/>
      <c r="E82" s="44"/>
      <c r="F82" s="75"/>
      <c r="G82" s="89" t="str">
        <f t="shared" si="6"/>
        <v/>
      </c>
      <c r="H82" s="45"/>
      <c r="I82" s="45"/>
      <c r="J82" s="87" t="str">
        <f t="shared" ca="1" si="7"/>
        <v/>
      </c>
      <c r="K82" s="57" t="str">
        <f ca="1">IF(ISNUMBER(J82),IF(J82&lt;0,"Expired",IF(J82&lt;=Engagement!$C$44,"Decision due","")),"")</f>
        <v/>
      </c>
      <c r="L82" s="44"/>
      <c r="M82" s="44"/>
      <c r="N82" s="44"/>
      <c r="O82" s="57" t="str">
        <f t="shared" si="8"/>
        <v/>
      </c>
      <c r="P82" s="44"/>
      <c r="Q82" s="22"/>
      <c r="R82" s="22"/>
      <c r="S82" s="22"/>
    </row>
    <row r="83" spans="1:19" ht="14" x14ac:dyDescent="0.15">
      <c r="A83" s="43" t="s">
        <v>2615</v>
      </c>
      <c r="B83" s="22"/>
      <c r="C83" s="22"/>
      <c r="D83" s="22"/>
      <c r="E83" s="44"/>
      <c r="F83" s="75"/>
      <c r="G83" s="89" t="str">
        <f t="shared" si="6"/>
        <v/>
      </c>
      <c r="H83" s="45"/>
      <c r="I83" s="45"/>
      <c r="J83" s="87" t="str">
        <f t="shared" ca="1" si="7"/>
        <v/>
      </c>
      <c r="K83" s="57" t="str">
        <f ca="1">IF(ISNUMBER(J83),IF(J83&lt;0,"Expired",IF(J83&lt;=Engagement!$C$44,"Decision due","")),"")</f>
        <v/>
      </c>
      <c r="L83" s="44"/>
      <c r="M83" s="44"/>
      <c r="N83" s="44"/>
      <c r="O83" s="57" t="str">
        <f t="shared" si="8"/>
        <v/>
      </c>
      <c r="P83" s="44"/>
      <c r="Q83" s="22"/>
      <c r="R83" s="22"/>
      <c r="S83" s="22"/>
    </row>
    <row r="84" spans="1:19" ht="14" x14ac:dyDescent="0.15">
      <c r="A84" s="43" t="s">
        <v>2616</v>
      </c>
      <c r="B84" s="22"/>
      <c r="C84" s="22"/>
      <c r="D84" s="22"/>
      <c r="E84" s="44"/>
      <c r="F84" s="75"/>
      <c r="G84" s="89" t="str">
        <f t="shared" si="6"/>
        <v/>
      </c>
      <c r="H84" s="45"/>
      <c r="I84" s="45"/>
      <c r="J84" s="87" t="str">
        <f t="shared" ca="1" si="7"/>
        <v/>
      </c>
      <c r="K84" s="57" t="str">
        <f ca="1">IF(ISNUMBER(J84),IF(J84&lt;0,"Expired",IF(J84&lt;=Engagement!$C$44,"Decision due","")),"")</f>
        <v/>
      </c>
      <c r="L84" s="44"/>
      <c r="M84" s="44"/>
      <c r="N84" s="44"/>
      <c r="O84" s="57" t="str">
        <f t="shared" si="8"/>
        <v/>
      </c>
      <c r="P84" s="44"/>
      <c r="Q84" s="22"/>
      <c r="R84" s="22"/>
      <c r="S84" s="22"/>
    </row>
    <row r="85" spans="1:19" ht="14" x14ac:dyDescent="0.15">
      <c r="A85" s="43" t="s">
        <v>2617</v>
      </c>
      <c r="B85" s="22"/>
      <c r="C85" s="22"/>
      <c r="D85" s="22"/>
      <c r="E85" s="44"/>
      <c r="F85" s="75"/>
      <c r="G85" s="89" t="str">
        <f t="shared" si="6"/>
        <v/>
      </c>
      <c r="H85" s="45"/>
      <c r="I85" s="45"/>
      <c r="J85" s="87" t="str">
        <f t="shared" ca="1" si="7"/>
        <v/>
      </c>
      <c r="K85" s="57" t="str">
        <f ca="1">IF(ISNUMBER(J85),IF(J85&lt;0,"Expired",IF(J85&lt;=Engagement!$C$44,"Decision due","")),"")</f>
        <v/>
      </c>
      <c r="L85" s="44"/>
      <c r="M85" s="44"/>
      <c r="N85" s="44"/>
      <c r="O85" s="57" t="str">
        <f t="shared" si="8"/>
        <v/>
      </c>
      <c r="P85" s="44"/>
      <c r="Q85" s="22"/>
      <c r="R85" s="22"/>
      <c r="S85" s="22"/>
    </row>
    <row r="86" spans="1:19" ht="14" x14ac:dyDescent="0.15">
      <c r="A86" s="43" t="s">
        <v>2618</v>
      </c>
      <c r="B86" s="22"/>
      <c r="C86" s="22"/>
      <c r="D86" s="22"/>
      <c r="E86" s="44"/>
      <c r="F86" s="75"/>
      <c r="G86" s="89" t="str">
        <f t="shared" si="6"/>
        <v/>
      </c>
      <c r="H86" s="45"/>
      <c r="I86" s="45"/>
      <c r="J86" s="87" t="str">
        <f t="shared" ca="1" si="7"/>
        <v/>
      </c>
      <c r="K86" s="57" t="str">
        <f ca="1">IF(ISNUMBER(J86),IF(J86&lt;0,"Expired",IF(J86&lt;=Engagement!$C$44,"Decision due","")),"")</f>
        <v/>
      </c>
      <c r="L86" s="44"/>
      <c r="M86" s="44"/>
      <c r="N86" s="44"/>
      <c r="O86" s="57" t="str">
        <f t="shared" si="8"/>
        <v/>
      </c>
      <c r="P86" s="44"/>
      <c r="Q86" s="22"/>
      <c r="R86" s="22"/>
      <c r="S86" s="22"/>
    </row>
    <row r="87" spans="1:19" ht="14" x14ac:dyDescent="0.15">
      <c r="A87" s="43" t="s">
        <v>2619</v>
      </c>
      <c r="B87" s="22"/>
      <c r="C87" s="22"/>
      <c r="D87" s="22"/>
      <c r="E87" s="44"/>
      <c r="F87" s="75"/>
      <c r="G87" s="89" t="str">
        <f t="shared" si="6"/>
        <v/>
      </c>
      <c r="H87" s="45"/>
      <c r="I87" s="45"/>
      <c r="J87" s="87" t="str">
        <f t="shared" ca="1" si="7"/>
        <v/>
      </c>
      <c r="K87" s="57" t="str">
        <f ca="1">IF(ISNUMBER(J87),IF(J87&lt;0,"Expired",IF(J87&lt;=Engagement!$C$44,"Decision due","")),"")</f>
        <v/>
      </c>
      <c r="L87" s="44"/>
      <c r="M87" s="44"/>
      <c r="N87" s="44"/>
      <c r="O87" s="57" t="str">
        <f t="shared" si="8"/>
        <v/>
      </c>
      <c r="P87" s="44"/>
      <c r="Q87" s="22"/>
      <c r="R87" s="22"/>
      <c r="S87" s="22"/>
    </row>
    <row r="88" spans="1:19" ht="14" x14ac:dyDescent="0.15">
      <c r="A88" s="43" t="s">
        <v>2620</v>
      </c>
      <c r="B88" s="22"/>
      <c r="C88" s="22"/>
      <c r="D88" s="22"/>
      <c r="E88" s="44"/>
      <c r="F88" s="75"/>
      <c r="G88" s="89" t="str">
        <f t="shared" si="6"/>
        <v/>
      </c>
      <c r="H88" s="45"/>
      <c r="I88" s="45"/>
      <c r="J88" s="87" t="str">
        <f t="shared" ca="1" si="7"/>
        <v/>
      </c>
      <c r="K88" s="57" t="str">
        <f ca="1">IF(ISNUMBER(J88),IF(J88&lt;0,"Expired",IF(J88&lt;=Engagement!$C$44,"Decision due","")),"")</f>
        <v/>
      </c>
      <c r="L88" s="44"/>
      <c r="M88" s="44"/>
      <c r="N88" s="44"/>
      <c r="O88" s="57" t="str">
        <f t="shared" si="8"/>
        <v/>
      </c>
      <c r="P88" s="44"/>
      <c r="Q88" s="22"/>
      <c r="R88" s="22"/>
      <c r="S88" s="22"/>
    </row>
    <row r="89" spans="1:19" ht="14" x14ac:dyDescent="0.15">
      <c r="A89" s="43" t="s">
        <v>2621</v>
      </c>
      <c r="B89" s="22"/>
      <c r="C89" s="22"/>
      <c r="D89" s="22"/>
      <c r="E89" s="44"/>
      <c r="F89" s="75"/>
      <c r="G89" s="89" t="str">
        <f t="shared" si="6"/>
        <v/>
      </c>
      <c r="H89" s="45"/>
      <c r="I89" s="45"/>
      <c r="J89" s="87" t="str">
        <f t="shared" ca="1" si="7"/>
        <v/>
      </c>
      <c r="K89" s="57" t="str">
        <f ca="1">IF(ISNUMBER(J89),IF(J89&lt;0,"Expired",IF(J89&lt;=Engagement!$C$44,"Decision due","")),"")</f>
        <v/>
      </c>
      <c r="L89" s="44"/>
      <c r="M89" s="44"/>
      <c r="N89" s="44"/>
      <c r="O89" s="57" t="str">
        <f t="shared" si="8"/>
        <v/>
      </c>
      <c r="P89" s="44"/>
      <c r="Q89" s="22"/>
      <c r="R89" s="22"/>
      <c r="S89" s="22"/>
    </row>
    <row r="90" spans="1:19" ht="14" x14ac:dyDescent="0.15">
      <c r="A90" s="43" t="s">
        <v>2622</v>
      </c>
      <c r="B90" s="22"/>
      <c r="C90" s="22"/>
      <c r="D90" s="22"/>
      <c r="E90" s="44"/>
      <c r="F90" s="75"/>
      <c r="G90" s="89" t="str">
        <f t="shared" si="6"/>
        <v/>
      </c>
      <c r="H90" s="45"/>
      <c r="I90" s="45"/>
      <c r="J90" s="87" t="str">
        <f t="shared" ca="1" si="7"/>
        <v/>
      </c>
      <c r="K90" s="57" t="str">
        <f ca="1">IF(ISNUMBER(J90),IF(J90&lt;0,"Expired",IF(J90&lt;=Engagement!$C$44,"Decision due","")),"")</f>
        <v/>
      </c>
      <c r="L90" s="44"/>
      <c r="M90" s="44"/>
      <c r="N90" s="44"/>
      <c r="O90" s="57" t="str">
        <f t="shared" si="8"/>
        <v/>
      </c>
      <c r="P90" s="44"/>
      <c r="Q90" s="22"/>
      <c r="R90" s="22"/>
      <c r="S90" s="22"/>
    </row>
    <row r="91" spans="1:19" ht="14" x14ac:dyDescent="0.15">
      <c r="A91" s="43" t="s">
        <v>2623</v>
      </c>
      <c r="B91" s="22"/>
      <c r="C91" s="22"/>
      <c r="D91" s="22"/>
      <c r="E91" s="44"/>
      <c r="F91" s="75"/>
      <c r="G91" s="89" t="str">
        <f t="shared" si="6"/>
        <v/>
      </c>
      <c r="H91" s="45"/>
      <c r="I91" s="45"/>
      <c r="J91" s="87" t="str">
        <f t="shared" ca="1" si="7"/>
        <v/>
      </c>
      <c r="K91" s="57" t="str">
        <f ca="1">IF(ISNUMBER(J91),IF(J91&lt;0,"Expired",IF(J91&lt;=Engagement!$C$44,"Decision due","")),"")</f>
        <v/>
      </c>
      <c r="L91" s="44"/>
      <c r="M91" s="44"/>
      <c r="N91" s="44"/>
      <c r="O91" s="57" t="str">
        <f t="shared" si="8"/>
        <v/>
      </c>
      <c r="P91" s="44"/>
      <c r="Q91" s="22"/>
      <c r="R91" s="22"/>
      <c r="S91" s="22"/>
    </row>
    <row r="92" spans="1:19" ht="14" x14ac:dyDescent="0.15">
      <c r="A92" s="43" t="s">
        <v>2624</v>
      </c>
      <c r="B92" s="22"/>
      <c r="C92" s="22"/>
      <c r="D92" s="22"/>
      <c r="E92" s="44"/>
      <c r="F92" s="75"/>
      <c r="G92" s="89" t="str">
        <f t="shared" si="6"/>
        <v/>
      </c>
      <c r="H92" s="45"/>
      <c r="I92" s="45"/>
      <c r="J92" s="87" t="str">
        <f t="shared" ca="1" si="7"/>
        <v/>
      </c>
      <c r="K92" s="57" t="str">
        <f ca="1">IF(ISNUMBER(J92),IF(J92&lt;0,"Expired",IF(J92&lt;=Engagement!$C$44,"Decision due","")),"")</f>
        <v/>
      </c>
      <c r="L92" s="44"/>
      <c r="M92" s="44"/>
      <c r="N92" s="44"/>
      <c r="O92" s="57" t="str">
        <f t="shared" si="8"/>
        <v/>
      </c>
      <c r="P92" s="44"/>
      <c r="Q92" s="22"/>
      <c r="R92" s="22"/>
      <c r="S92" s="22"/>
    </row>
    <row r="93" spans="1:19" ht="14" x14ac:dyDescent="0.15">
      <c r="A93" s="43" t="s">
        <v>2625</v>
      </c>
      <c r="B93" s="22"/>
      <c r="C93" s="22"/>
      <c r="D93" s="22"/>
      <c r="E93" s="44"/>
      <c r="F93" s="75"/>
      <c r="G93" s="89" t="str">
        <f t="shared" si="6"/>
        <v/>
      </c>
      <c r="H93" s="45"/>
      <c r="I93" s="45"/>
      <c r="J93" s="87" t="str">
        <f t="shared" ca="1" si="7"/>
        <v/>
      </c>
      <c r="K93" s="57" t="str">
        <f ca="1">IF(ISNUMBER(J93),IF(J93&lt;0,"Expired",IF(J93&lt;=Engagement!$C$44,"Decision due","")),"")</f>
        <v/>
      </c>
      <c r="L93" s="44"/>
      <c r="M93" s="44"/>
      <c r="N93" s="44"/>
      <c r="O93" s="57" t="str">
        <f t="shared" si="8"/>
        <v/>
      </c>
      <c r="P93" s="44"/>
      <c r="Q93" s="22"/>
      <c r="R93" s="22"/>
      <c r="S93" s="22"/>
    </row>
    <row r="94" spans="1:19" ht="14" x14ac:dyDescent="0.15">
      <c r="A94" s="43" t="s">
        <v>2626</v>
      </c>
      <c r="B94" s="22"/>
      <c r="C94" s="22"/>
      <c r="D94" s="22"/>
      <c r="E94" s="44"/>
      <c r="F94" s="75"/>
      <c r="G94" s="89" t="str">
        <f t="shared" si="6"/>
        <v/>
      </c>
      <c r="H94" s="45"/>
      <c r="I94" s="45"/>
      <c r="J94" s="87" t="str">
        <f t="shared" ca="1" si="7"/>
        <v/>
      </c>
      <c r="K94" s="57" t="str">
        <f ca="1">IF(ISNUMBER(J94),IF(J94&lt;0,"Expired",IF(J94&lt;=Engagement!$C$44,"Decision due","")),"")</f>
        <v/>
      </c>
      <c r="L94" s="44"/>
      <c r="M94" s="44"/>
      <c r="N94" s="44"/>
      <c r="O94" s="57" t="str">
        <f t="shared" si="8"/>
        <v/>
      </c>
      <c r="P94" s="44"/>
      <c r="Q94" s="22"/>
      <c r="R94" s="22"/>
      <c r="S94" s="22"/>
    </row>
    <row r="95" spans="1:19" ht="14" x14ac:dyDescent="0.15">
      <c r="A95" s="43" t="s">
        <v>2627</v>
      </c>
      <c r="B95" s="22"/>
      <c r="C95" s="22"/>
      <c r="D95" s="22"/>
      <c r="E95" s="44"/>
      <c r="F95" s="75"/>
      <c r="G95" s="89" t="str">
        <f t="shared" si="6"/>
        <v/>
      </c>
      <c r="H95" s="45"/>
      <c r="I95" s="45"/>
      <c r="J95" s="87" t="str">
        <f t="shared" ca="1" si="7"/>
        <v/>
      </c>
      <c r="K95" s="57" t="str">
        <f ca="1">IF(ISNUMBER(J95),IF(J95&lt;0,"Expired",IF(J95&lt;=Engagement!$C$44,"Decision due","")),"")</f>
        <v/>
      </c>
      <c r="L95" s="44"/>
      <c r="M95" s="44"/>
      <c r="N95" s="44"/>
      <c r="O95" s="57" t="str">
        <f t="shared" si="8"/>
        <v/>
      </c>
      <c r="P95" s="44"/>
      <c r="Q95" s="22"/>
      <c r="R95" s="22"/>
      <c r="S95" s="22"/>
    </row>
    <row r="96" spans="1:19" ht="14" x14ac:dyDescent="0.15">
      <c r="A96" s="43" t="s">
        <v>2628</v>
      </c>
      <c r="B96" s="22"/>
      <c r="C96" s="22"/>
      <c r="D96" s="22"/>
      <c r="E96" s="44"/>
      <c r="F96" s="75"/>
      <c r="G96" s="89" t="str">
        <f t="shared" si="6"/>
        <v/>
      </c>
      <c r="H96" s="45"/>
      <c r="I96" s="45"/>
      <c r="J96" s="87" t="str">
        <f t="shared" ca="1" si="7"/>
        <v/>
      </c>
      <c r="K96" s="57" t="str">
        <f ca="1">IF(ISNUMBER(J96),IF(J96&lt;0,"Expired",IF(J96&lt;=Engagement!$C$44,"Decision due","")),"")</f>
        <v/>
      </c>
      <c r="L96" s="44"/>
      <c r="M96" s="44"/>
      <c r="N96" s="44"/>
      <c r="O96" s="57" t="str">
        <f t="shared" si="8"/>
        <v/>
      </c>
      <c r="P96" s="44"/>
      <c r="Q96" s="22"/>
      <c r="R96" s="22"/>
      <c r="S96" s="22"/>
    </row>
    <row r="97" spans="1:19" ht="14" x14ac:dyDescent="0.15">
      <c r="A97" s="43" t="s">
        <v>2629</v>
      </c>
      <c r="B97" s="22"/>
      <c r="C97" s="22"/>
      <c r="D97" s="22"/>
      <c r="E97" s="44"/>
      <c r="F97" s="75"/>
      <c r="G97" s="89" t="str">
        <f t="shared" si="6"/>
        <v/>
      </c>
      <c r="H97" s="45"/>
      <c r="I97" s="45"/>
      <c r="J97" s="87" t="str">
        <f t="shared" ca="1" si="7"/>
        <v/>
      </c>
      <c r="K97" s="57" t="str">
        <f ca="1">IF(ISNUMBER(J97),IF(J97&lt;0,"Expired",IF(J97&lt;=Engagement!$C$44,"Decision due","")),"")</f>
        <v/>
      </c>
      <c r="L97" s="44"/>
      <c r="M97" s="44"/>
      <c r="N97" s="44"/>
      <c r="O97" s="57" t="str">
        <f t="shared" si="8"/>
        <v/>
      </c>
      <c r="P97" s="44"/>
      <c r="Q97" s="22"/>
      <c r="R97" s="22"/>
      <c r="S97" s="22"/>
    </row>
    <row r="98" spans="1:19" ht="14" x14ac:dyDescent="0.15">
      <c r="A98" s="43" t="s">
        <v>2630</v>
      </c>
      <c r="B98" s="22"/>
      <c r="C98" s="22"/>
      <c r="D98" s="22"/>
      <c r="E98" s="44"/>
      <c r="F98" s="75"/>
      <c r="G98" s="89" t="str">
        <f t="shared" si="6"/>
        <v/>
      </c>
      <c r="H98" s="45"/>
      <c r="I98" s="45"/>
      <c r="J98" s="87" t="str">
        <f t="shared" ca="1" si="7"/>
        <v/>
      </c>
      <c r="K98" s="57" t="str">
        <f ca="1">IF(ISNUMBER(J98),IF(J98&lt;0,"Expired",IF(J98&lt;=Engagement!$C$44,"Decision due","")),"")</f>
        <v/>
      </c>
      <c r="L98" s="44"/>
      <c r="M98" s="44"/>
      <c r="N98" s="44"/>
      <c r="O98" s="57" t="str">
        <f t="shared" si="8"/>
        <v/>
      </c>
      <c r="P98" s="44"/>
      <c r="Q98" s="22"/>
      <c r="R98" s="22"/>
      <c r="S98" s="22"/>
    </row>
    <row r="99" spans="1:19" ht="14" x14ac:dyDescent="0.15">
      <c r="A99" s="43" t="s">
        <v>2631</v>
      </c>
      <c r="B99" s="22"/>
      <c r="C99" s="22"/>
      <c r="D99" s="22"/>
      <c r="E99" s="44"/>
      <c r="F99" s="75"/>
      <c r="G99" s="89" t="str">
        <f t="shared" si="6"/>
        <v/>
      </c>
      <c r="H99" s="45"/>
      <c r="I99" s="45"/>
      <c r="J99" s="87" t="str">
        <f t="shared" ca="1" si="7"/>
        <v/>
      </c>
      <c r="K99" s="57" t="str">
        <f ca="1">IF(ISNUMBER(J99),IF(J99&lt;0,"Expired",IF(J99&lt;=Engagement!$C$44,"Decision due","")),"")</f>
        <v/>
      </c>
      <c r="L99" s="44"/>
      <c r="M99" s="44"/>
      <c r="N99" s="44"/>
      <c r="O99" s="57" t="str">
        <f t="shared" si="8"/>
        <v/>
      </c>
      <c r="P99" s="44"/>
      <c r="Q99" s="22"/>
      <c r="R99" s="22"/>
      <c r="S99" s="22"/>
    </row>
    <row r="100" spans="1:19" ht="14" x14ac:dyDescent="0.15">
      <c r="A100" s="43" t="s">
        <v>2632</v>
      </c>
      <c r="B100" s="22"/>
      <c r="C100" s="22"/>
      <c r="D100" s="22"/>
      <c r="E100" s="44"/>
      <c r="F100" s="75"/>
      <c r="G100" s="89" t="str">
        <f t="shared" si="6"/>
        <v/>
      </c>
      <c r="H100" s="45"/>
      <c r="I100" s="45"/>
      <c r="J100" s="87" t="str">
        <f t="shared" ca="1" si="7"/>
        <v/>
      </c>
      <c r="K100" s="57" t="str">
        <f ca="1">IF(ISNUMBER(J100),IF(J100&lt;0,"Expired",IF(J100&lt;=Engagement!$C$44,"Decision due","")),"")</f>
        <v/>
      </c>
      <c r="L100" s="44"/>
      <c r="M100" s="44"/>
      <c r="N100" s="44"/>
      <c r="O100" s="57" t="str">
        <f t="shared" si="8"/>
        <v/>
      </c>
      <c r="P100" s="44"/>
      <c r="Q100" s="22"/>
      <c r="R100" s="22"/>
      <c r="S100" s="22"/>
    </row>
    <row r="101" spans="1:19" ht="14" x14ac:dyDescent="0.15">
      <c r="A101" s="43" t="s">
        <v>2633</v>
      </c>
      <c r="B101" s="22"/>
      <c r="C101" s="22"/>
      <c r="D101" s="22"/>
      <c r="E101" s="44"/>
      <c r="F101" s="75"/>
      <c r="G101" s="89" t="str">
        <f t="shared" si="6"/>
        <v/>
      </c>
      <c r="H101" s="45"/>
      <c r="I101" s="45"/>
      <c r="J101" s="87" t="str">
        <f t="shared" ca="1" si="7"/>
        <v/>
      </c>
      <c r="K101" s="57" t="str">
        <f ca="1">IF(ISNUMBER(J101),IF(J101&lt;0,"Expired",IF(J101&lt;=Engagement!$C$44,"Decision due","")),"")</f>
        <v/>
      </c>
      <c r="L101" s="44"/>
      <c r="M101" s="44"/>
      <c r="N101" s="44"/>
      <c r="O101" s="57" t="str">
        <f t="shared" si="8"/>
        <v/>
      </c>
      <c r="P101" s="44"/>
      <c r="Q101" s="22"/>
      <c r="R101" s="22"/>
      <c r="S101" s="22"/>
    </row>
    <row r="102" spans="1:19" ht="14" x14ac:dyDescent="0.15">
      <c r="A102" s="43" t="s">
        <v>2634</v>
      </c>
      <c r="B102" s="22"/>
      <c r="C102" s="22"/>
      <c r="D102" s="22"/>
      <c r="E102" s="44"/>
      <c r="F102" s="75"/>
      <c r="G102" s="89" t="str">
        <f t="shared" ref="G102:G133" si="9">IF(AND(ISNUMBER(F102),A102&lt;&gt;"Example"),IFERROR(F102/SUMIF($A$6:$A$106,"&lt;&gt;Example",$F$6:$F$106),""),"")</f>
        <v/>
      </c>
      <c r="H102" s="45"/>
      <c r="I102" s="45"/>
      <c r="J102" s="87" t="str">
        <f t="shared" ref="J102:J133" ca="1" si="10">IF(ISNUMBER(I102),I102-TODAY(),"")</f>
        <v/>
      </c>
      <c r="K102" s="57" t="str">
        <f ca="1">IF(ISNUMBER(J102),IF(J102&lt;0,"Expired",IF(J102&lt;=Engagement!$C$44,"Decision due","")),"")</f>
        <v/>
      </c>
      <c r="L102" s="44"/>
      <c r="M102" s="44"/>
      <c r="N102" s="44"/>
      <c r="O102" s="57" t="str">
        <f t="shared" ref="O102:O133" si="11">IF(AND(L102="",M102="",N102=""),"",IF(AND(M102="Yes",N102&lt;&gt;"Yes"),"High",IF(OR(M102="Yes",AND(L102="Yes",N102&lt;&gt;"Yes")),"Medium","Low")))</f>
        <v/>
      </c>
      <c r="P102" s="44"/>
      <c r="Q102" s="22"/>
      <c r="R102" s="22"/>
      <c r="S102" s="22"/>
    </row>
    <row r="103" spans="1:19" ht="14" x14ac:dyDescent="0.15">
      <c r="A103" s="43" t="s">
        <v>2635</v>
      </c>
      <c r="B103" s="22"/>
      <c r="C103" s="22"/>
      <c r="D103" s="22"/>
      <c r="E103" s="44"/>
      <c r="F103" s="75"/>
      <c r="G103" s="89" t="str">
        <f t="shared" si="9"/>
        <v/>
      </c>
      <c r="H103" s="45"/>
      <c r="I103" s="45"/>
      <c r="J103" s="87" t="str">
        <f t="shared" ca="1" si="10"/>
        <v/>
      </c>
      <c r="K103" s="57" t="str">
        <f ca="1">IF(ISNUMBER(J103),IF(J103&lt;0,"Expired",IF(J103&lt;=Engagement!$C$44,"Decision due","")),"")</f>
        <v/>
      </c>
      <c r="L103" s="44"/>
      <c r="M103" s="44"/>
      <c r="N103" s="44"/>
      <c r="O103" s="57" t="str">
        <f t="shared" si="11"/>
        <v/>
      </c>
      <c r="P103" s="44"/>
      <c r="Q103" s="22"/>
      <c r="R103" s="22"/>
      <c r="S103" s="22"/>
    </row>
    <row r="104" spans="1:19" ht="14" x14ac:dyDescent="0.15">
      <c r="A104" s="43" t="s">
        <v>2636</v>
      </c>
      <c r="B104" s="22"/>
      <c r="C104" s="22"/>
      <c r="D104" s="22"/>
      <c r="E104" s="44"/>
      <c r="F104" s="75"/>
      <c r="G104" s="89" t="str">
        <f t="shared" si="9"/>
        <v/>
      </c>
      <c r="H104" s="45"/>
      <c r="I104" s="45"/>
      <c r="J104" s="87" t="str">
        <f t="shared" ca="1" si="10"/>
        <v/>
      </c>
      <c r="K104" s="57" t="str">
        <f ca="1">IF(ISNUMBER(J104),IF(J104&lt;0,"Expired",IF(J104&lt;=Engagement!$C$44,"Decision due","")),"")</f>
        <v/>
      </c>
      <c r="L104" s="44"/>
      <c r="M104" s="44"/>
      <c r="N104" s="44"/>
      <c r="O104" s="57" t="str">
        <f t="shared" si="11"/>
        <v/>
      </c>
      <c r="P104" s="44"/>
      <c r="Q104" s="22"/>
      <c r="R104" s="22"/>
      <c r="S104" s="22"/>
    </row>
    <row r="105" spans="1:19" ht="14" x14ac:dyDescent="0.15">
      <c r="A105" s="43" t="s">
        <v>2637</v>
      </c>
      <c r="B105" s="22"/>
      <c r="C105" s="22"/>
      <c r="D105" s="22"/>
      <c r="E105" s="44"/>
      <c r="F105" s="75"/>
      <c r="G105" s="89" t="str">
        <f t="shared" si="9"/>
        <v/>
      </c>
      <c r="H105" s="45"/>
      <c r="I105" s="45"/>
      <c r="J105" s="87" t="str">
        <f t="shared" ca="1" si="10"/>
        <v/>
      </c>
      <c r="K105" s="57" t="str">
        <f ca="1">IF(ISNUMBER(J105),IF(J105&lt;0,"Expired",IF(J105&lt;=Engagement!$C$44,"Decision due","")),"")</f>
        <v/>
      </c>
      <c r="L105" s="44"/>
      <c r="M105" s="44"/>
      <c r="N105" s="44"/>
      <c r="O105" s="57" t="str">
        <f t="shared" si="11"/>
        <v/>
      </c>
      <c r="P105" s="44"/>
      <c r="Q105" s="22"/>
      <c r="R105" s="22"/>
      <c r="S105" s="22"/>
    </row>
    <row r="106" spans="1:19" ht="14" x14ac:dyDescent="0.15">
      <c r="A106" s="43" t="s">
        <v>2638</v>
      </c>
      <c r="B106" s="22"/>
      <c r="C106" s="22"/>
      <c r="D106" s="22"/>
      <c r="E106" s="44"/>
      <c r="F106" s="75"/>
      <c r="G106" s="89" t="str">
        <f t="shared" si="9"/>
        <v/>
      </c>
      <c r="H106" s="45"/>
      <c r="I106" s="45"/>
      <c r="J106" s="87" t="str">
        <f t="shared" ca="1" si="10"/>
        <v/>
      </c>
      <c r="K106" s="57" t="str">
        <f ca="1">IF(ISNUMBER(J106),IF(J106&lt;0,"Expired",IF(J106&lt;=Engagement!$C$44,"Decision due","")),"")</f>
        <v/>
      </c>
      <c r="L106" s="44"/>
      <c r="M106" s="44"/>
      <c r="N106" s="44"/>
      <c r="O106" s="57" t="str">
        <f t="shared" si="11"/>
        <v/>
      </c>
      <c r="P106" s="44"/>
      <c r="Q106" s="22"/>
      <c r="R106" s="22"/>
      <c r="S106" s="22"/>
    </row>
    <row r="107" spans="1:19" ht="28" x14ac:dyDescent="0.15">
      <c r="A107" s="23"/>
      <c r="B107" s="26" t="s">
        <v>2639</v>
      </c>
      <c r="C107" s="23"/>
      <c r="D107" s="23"/>
      <c r="E107" s="23"/>
      <c r="F107" s="82">
        <f>SUMIF($A$6:$A$106,"&lt;&gt;Example",$F$6:$F$106)</f>
        <v>0</v>
      </c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</row>
  </sheetData>
  <autoFilter ref="A5:S106" xr:uid="{00000000-0009-0000-0000-00000D000000}"/>
  <conditionalFormatting sqref="K6:K106">
    <cfRule type="cellIs" dxfId="24" priority="5" operator="equal">
      <formula>"Expired"</formula>
    </cfRule>
    <cfRule type="cellIs" dxfId="23" priority="6" operator="equal">
      <formula>"Decision due"</formula>
    </cfRule>
  </conditionalFormatting>
  <conditionalFormatting sqref="O6:O106">
    <cfRule type="cellIs" dxfId="22" priority="2" operator="equal">
      <formula>"High"</formula>
    </cfRule>
    <cfRule type="cellIs" dxfId="21" priority="3" operator="equal">
      <formula>"Medium"</formula>
    </cfRule>
    <cfRule type="cellIs" dxfId="20" priority="4" operator="equal">
      <formula>"Low"</formula>
    </cfRule>
  </conditionalFormatting>
  <dataValidations count="2">
    <dataValidation type="date" operator="greaterThan" allowBlank="1" showErrorMessage="1" error="Enter a valid date (dd/mm/yyyy)." sqref="H6:I106" xr:uid="{00000000-0002-0000-0D00-000000000000}">
      <formula1>36526</formula1>
      <formula2>0</formula2>
    </dataValidation>
    <dataValidation type="whole" allowBlank="1" showErrorMessage="1" error="Enter a whole number between 1 and 5." sqref="P6:P106" xr:uid="{00000000-0002-0000-0D00-000001000000}">
      <formula1>1</formula1>
      <formula2>5</formula2>
    </dataValidation>
  </dataValidations>
  <pageMargins left="0.4" right="0.4" top="0.5" bottom="0.5" header="0.511811023622047" footer="0.5"/>
  <pageSetup paperSize="9" fitToHeight="0" orientation="landscape" horizontalDpi="300" verticalDpi="300"/>
  <headerFooter>
    <oddFooter>&amp;L&amp;8 CTO Consulting | Operating Model Assessment Toolkit&amp;R&amp;8 &amp;A | 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 entry" error="Please select a value from the list (values are maintained on the Lists tab)." xr:uid="{00000000-0002-0000-0D00-000002000000}">
          <x14:formula1>
            <xm:f>Lists!$W$2:$W$5</xm:f>
          </x14:formula1>
          <x14:formula2>
            <xm:f>0</xm:f>
          </x14:formula2>
          <xm:sqref>E6:E106</xm:sqref>
        </x14:dataValidation>
        <x14:dataValidation type="list" allowBlank="1" showErrorMessage="1" errorTitle="Invalid entry" error="Please select a value from the list (values are maintained on the Lists tab)." xr:uid="{00000000-0002-0000-0D00-000003000000}">
          <x14:formula1>
            <xm:f>Lists!$H$2:$H$3</xm:f>
          </x14:formula1>
          <x14:formula2>
            <xm:f>0</xm:f>
          </x14:formula2>
          <xm:sqref>L6:M106</xm:sqref>
        </x14:dataValidation>
        <x14:dataValidation type="list" allowBlank="1" showErrorMessage="1" errorTitle="Invalid entry" error="Please select a value from the list (values are maintained on the Lists tab)." xr:uid="{00000000-0002-0000-0D00-000004000000}">
          <x14:formula1>
            <xm:f>Lists!$G$2:$G$4</xm:f>
          </x14:formula1>
          <x14:formula2>
            <xm:f>0</xm:f>
          </x14:formula2>
          <xm:sqref>N6:N106</xm:sqref>
        </x14:dataValidation>
        <x14:dataValidation type="list" allowBlank="1" showErrorMessage="1" errorTitle="Invalid entry" error="Please select a value from the list (values are maintained on the Lists tab)." xr:uid="{00000000-0002-0000-0D00-000005000000}">
          <x14:formula1>
            <xm:f>Lists!$X$2:$X$5</xm:f>
          </x14:formula1>
          <x14:formula2>
            <xm:f>0</xm:f>
          </x14:formula2>
          <xm:sqref>Q6:Q106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2E75B6"/>
    <pageSetUpPr fitToPage="1"/>
  </sheetPr>
  <dimension ref="A1:Q47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8.6640625" defaultRowHeight="13" x14ac:dyDescent="0.15"/>
  <cols>
    <col min="1" max="1" width="7" customWidth="1"/>
    <col min="2" max="2" width="24" customWidth="1"/>
    <col min="3" max="3" width="16" customWidth="1"/>
    <col min="4" max="4" width="18" customWidth="1"/>
    <col min="5" max="5" width="28" customWidth="1"/>
    <col min="6" max="6" width="10" customWidth="1"/>
    <col min="7" max="8" width="12" customWidth="1"/>
    <col min="9" max="9" width="16" customWidth="1"/>
    <col min="10" max="10" width="12" customWidth="1"/>
    <col min="11" max="11" width="11" customWidth="1"/>
    <col min="12" max="12" width="14" customWidth="1"/>
    <col min="13" max="13" width="12" customWidth="1"/>
    <col min="14" max="14" width="13" customWidth="1"/>
    <col min="15" max="15" width="10" customWidth="1"/>
    <col min="16" max="16" width="20" customWidth="1"/>
    <col min="17" max="17" width="32" customWidth="1"/>
  </cols>
  <sheetData>
    <row r="1" spans="1:17" ht="27.75" customHeight="1" x14ac:dyDescent="0.15">
      <c r="A1" s="33" t="s">
        <v>2640</v>
      </c>
    </row>
    <row r="2" spans="1:17" x14ac:dyDescent="0.15">
      <c r="A2" s="34" t="s">
        <v>2641</v>
      </c>
    </row>
    <row r="3" spans="1:17" x14ac:dyDescent="0.15">
      <c r="A3" s="38" t="s">
        <v>423</v>
      </c>
    </row>
    <row r="5" spans="1:17" ht="48" customHeight="1" x14ac:dyDescent="0.15">
      <c r="A5" s="20" t="s">
        <v>424</v>
      </c>
      <c r="B5" s="20" t="s">
        <v>2642</v>
      </c>
      <c r="C5" s="20" t="s">
        <v>2643</v>
      </c>
      <c r="D5" s="20" t="s">
        <v>2644</v>
      </c>
      <c r="E5" s="20" t="s">
        <v>2645</v>
      </c>
      <c r="F5" s="20" t="s">
        <v>2646</v>
      </c>
      <c r="G5" s="20" t="s">
        <v>2647</v>
      </c>
      <c r="H5" s="20" t="s">
        <v>2648</v>
      </c>
      <c r="I5" s="20" t="s">
        <v>2649</v>
      </c>
      <c r="J5" s="20" t="s">
        <v>2650</v>
      </c>
      <c r="K5" s="20" t="s">
        <v>2651</v>
      </c>
      <c r="L5" s="20" t="s">
        <v>2652</v>
      </c>
      <c r="M5" s="20" t="s">
        <v>2653</v>
      </c>
      <c r="N5" s="20" t="s">
        <v>2654</v>
      </c>
      <c r="O5" s="20" t="s">
        <v>2655</v>
      </c>
      <c r="P5" s="20" t="s">
        <v>2656</v>
      </c>
      <c r="Q5" s="20" t="s">
        <v>1888</v>
      </c>
    </row>
    <row r="6" spans="1:17" ht="28" x14ac:dyDescent="0.15">
      <c r="A6" s="39" t="s">
        <v>436</v>
      </c>
      <c r="B6" s="25" t="s">
        <v>2657</v>
      </c>
      <c r="C6" s="25" t="s">
        <v>2658</v>
      </c>
      <c r="D6" s="25" t="s">
        <v>2659</v>
      </c>
      <c r="E6" s="25" t="s">
        <v>2660</v>
      </c>
      <c r="F6" s="85">
        <v>220</v>
      </c>
      <c r="G6" s="85">
        <v>180</v>
      </c>
      <c r="H6" s="90">
        <v>0.62</v>
      </c>
      <c r="I6" s="40" t="s">
        <v>2661</v>
      </c>
      <c r="J6" s="42">
        <v>46843</v>
      </c>
      <c r="K6" s="86">
        <f t="shared" ref="K6:K46" ca="1" si="0">IF(ISNUMBER(J6),J6-TODAY(),"")</f>
        <v>549</v>
      </c>
      <c r="L6" s="69">
        <v>2150000</v>
      </c>
      <c r="M6" s="70">
        <f t="shared" ref="M6:M46" si="1">IF(AND(ISNUMBER(L6),ISNUMBER(F6),F6&gt;0),L6/F6,"")</f>
        <v>9772.7272727272721</v>
      </c>
      <c r="N6" s="70">
        <f t="shared" ref="N6:N46" si="2">IF(AND(ISNUMBER(L6),ISNUMBER(G6),G6&gt;0),L6/G6,"")</f>
        <v>11944.444444444445</v>
      </c>
      <c r="O6" s="40" t="s">
        <v>2534</v>
      </c>
      <c r="P6" s="25" t="s">
        <v>2662</v>
      </c>
      <c r="Q6" s="25" t="s">
        <v>2663</v>
      </c>
    </row>
    <row r="7" spans="1:17" ht="14" x14ac:dyDescent="0.15">
      <c r="A7" s="43" t="s">
        <v>2664</v>
      </c>
      <c r="B7" s="22"/>
      <c r="C7" s="22"/>
      <c r="D7" s="22"/>
      <c r="E7" s="22"/>
      <c r="F7" s="61"/>
      <c r="G7" s="61"/>
      <c r="H7" s="91"/>
      <c r="I7" s="44"/>
      <c r="J7" s="45"/>
      <c r="K7" s="87" t="str">
        <f t="shared" ca="1" si="0"/>
        <v/>
      </c>
      <c r="L7" s="75"/>
      <c r="M7" s="76" t="str">
        <f t="shared" si="1"/>
        <v/>
      </c>
      <c r="N7" s="76" t="str">
        <f t="shared" si="2"/>
        <v/>
      </c>
      <c r="O7" s="44"/>
      <c r="P7" s="22"/>
      <c r="Q7" s="22"/>
    </row>
    <row r="8" spans="1:17" ht="14" x14ac:dyDescent="0.15">
      <c r="A8" s="43" t="s">
        <v>2665</v>
      </c>
      <c r="B8" s="22"/>
      <c r="C8" s="22"/>
      <c r="D8" s="22"/>
      <c r="E8" s="22"/>
      <c r="F8" s="61"/>
      <c r="G8" s="61"/>
      <c r="H8" s="91"/>
      <c r="I8" s="44"/>
      <c r="J8" s="45"/>
      <c r="K8" s="87" t="str">
        <f t="shared" ca="1" si="0"/>
        <v/>
      </c>
      <c r="L8" s="75"/>
      <c r="M8" s="76" t="str">
        <f t="shared" si="1"/>
        <v/>
      </c>
      <c r="N8" s="76" t="str">
        <f t="shared" si="2"/>
        <v/>
      </c>
      <c r="O8" s="44"/>
      <c r="P8" s="22"/>
      <c r="Q8" s="22"/>
    </row>
    <row r="9" spans="1:17" ht="14" x14ac:dyDescent="0.15">
      <c r="A9" s="43" t="s">
        <v>2666</v>
      </c>
      <c r="B9" s="22"/>
      <c r="C9" s="22"/>
      <c r="D9" s="22"/>
      <c r="E9" s="22"/>
      <c r="F9" s="61"/>
      <c r="G9" s="61"/>
      <c r="H9" s="91"/>
      <c r="I9" s="44"/>
      <c r="J9" s="45"/>
      <c r="K9" s="87" t="str">
        <f t="shared" ca="1" si="0"/>
        <v/>
      </c>
      <c r="L9" s="75"/>
      <c r="M9" s="76" t="str">
        <f t="shared" si="1"/>
        <v/>
      </c>
      <c r="N9" s="76" t="str">
        <f t="shared" si="2"/>
        <v/>
      </c>
      <c r="O9" s="44"/>
      <c r="P9" s="22"/>
      <c r="Q9" s="22"/>
    </row>
    <row r="10" spans="1:17" ht="14" x14ac:dyDescent="0.15">
      <c r="A10" s="43" t="s">
        <v>2667</v>
      </c>
      <c r="B10" s="22"/>
      <c r="C10" s="22"/>
      <c r="D10" s="22"/>
      <c r="E10" s="22"/>
      <c r="F10" s="61"/>
      <c r="G10" s="61"/>
      <c r="H10" s="91"/>
      <c r="I10" s="44"/>
      <c r="J10" s="45"/>
      <c r="K10" s="87" t="str">
        <f t="shared" ca="1" si="0"/>
        <v/>
      </c>
      <c r="L10" s="75"/>
      <c r="M10" s="76" t="str">
        <f t="shared" si="1"/>
        <v/>
      </c>
      <c r="N10" s="76" t="str">
        <f t="shared" si="2"/>
        <v/>
      </c>
      <c r="O10" s="44"/>
      <c r="P10" s="22"/>
      <c r="Q10" s="22"/>
    </row>
    <row r="11" spans="1:17" ht="14" x14ac:dyDescent="0.15">
      <c r="A11" s="43" t="s">
        <v>2668</v>
      </c>
      <c r="B11" s="22"/>
      <c r="C11" s="22"/>
      <c r="D11" s="22"/>
      <c r="E11" s="22"/>
      <c r="F11" s="61"/>
      <c r="G11" s="61"/>
      <c r="H11" s="91"/>
      <c r="I11" s="44"/>
      <c r="J11" s="45"/>
      <c r="K11" s="87" t="str">
        <f t="shared" ca="1" si="0"/>
        <v/>
      </c>
      <c r="L11" s="75"/>
      <c r="M11" s="76" t="str">
        <f t="shared" si="1"/>
        <v/>
      </c>
      <c r="N11" s="76" t="str">
        <f t="shared" si="2"/>
        <v/>
      </c>
      <c r="O11" s="44"/>
      <c r="P11" s="22"/>
      <c r="Q11" s="22"/>
    </row>
    <row r="12" spans="1:17" ht="14" x14ac:dyDescent="0.15">
      <c r="A12" s="43" t="s">
        <v>2669</v>
      </c>
      <c r="B12" s="22"/>
      <c r="C12" s="22"/>
      <c r="D12" s="22"/>
      <c r="E12" s="22"/>
      <c r="F12" s="61"/>
      <c r="G12" s="61"/>
      <c r="H12" s="91"/>
      <c r="I12" s="44"/>
      <c r="J12" s="45"/>
      <c r="K12" s="87" t="str">
        <f t="shared" ca="1" si="0"/>
        <v/>
      </c>
      <c r="L12" s="75"/>
      <c r="M12" s="76" t="str">
        <f t="shared" si="1"/>
        <v/>
      </c>
      <c r="N12" s="76" t="str">
        <f t="shared" si="2"/>
        <v/>
      </c>
      <c r="O12" s="44"/>
      <c r="P12" s="22"/>
      <c r="Q12" s="22"/>
    </row>
    <row r="13" spans="1:17" ht="14" x14ac:dyDescent="0.15">
      <c r="A13" s="43" t="s">
        <v>2670</v>
      </c>
      <c r="B13" s="22"/>
      <c r="C13" s="22"/>
      <c r="D13" s="22"/>
      <c r="E13" s="22"/>
      <c r="F13" s="61"/>
      <c r="G13" s="61"/>
      <c r="H13" s="91"/>
      <c r="I13" s="44"/>
      <c r="J13" s="45"/>
      <c r="K13" s="87" t="str">
        <f t="shared" ca="1" si="0"/>
        <v/>
      </c>
      <c r="L13" s="75"/>
      <c r="M13" s="76" t="str">
        <f t="shared" si="1"/>
        <v/>
      </c>
      <c r="N13" s="76" t="str">
        <f t="shared" si="2"/>
        <v/>
      </c>
      <c r="O13" s="44"/>
      <c r="P13" s="22"/>
      <c r="Q13" s="22"/>
    </row>
    <row r="14" spans="1:17" ht="14" x14ac:dyDescent="0.15">
      <c r="A14" s="43" t="s">
        <v>2671</v>
      </c>
      <c r="B14" s="22"/>
      <c r="C14" s="22"/>
      <c r="D14" s="22"/>
      <c r="E14" s="22"/>
      <c r="F14" s="61"/>
      <c r="G14" s="61"/>
      <c r="H14" s="91"/>
      <c r="I14" s="44"/>
      <c r="J14" s="45"/>
      <c r="K14" s="87" t="str">
        <f t="shared" ca="1" si="0"/>
        <v/>
      </c>
      <c r="L14" s="75"/>
      <c r="M14" s="76" t="str">
        <f t="shared" si="1"/>
        <v/>
      </c>
      <c r="N14" s="76" t="str">
        <f t="shared" si="2"/>
        <v/>
      </c>
      <c r="O14" s="44"/>
      <c r="P14" s="22"/>
      <c r="Q14" s="22"/>
    </row>
    <row r="15" spans="1:17" ht="14" x14ac:dyDescent="0.15">
      <c r="A15" s="43" t="s">
        <v>2672</v>
      </c>
      <c r="B15" s="22"/>
      <c r="C15" s="22"/>
      <c r="D15" s="22"/>
      <c r="E15" s="22"/>
      <c r="F15" s="61"/>
      <c r="G15" s="61"/>
      <c r="H15" s="91"/>
      <c r="I15" s="44"/>
      <c r="J15" s="45"/>
      <c r="K15" s="87" t="str">
        <f t="shared" ca="1" si="0"/>
        <v/>
      </c>
      <c r="L15" s="75"/>
      <c r="M15" s="76" t="str">
        <f t="shared" si="1"/>
        <v/>
      </c>
      <c r="N15" s="76" t="str">
        <f t="shared" si="2"/>
        <v/>
      </c>
      <c r="O15" s="44"/>
      <c r="P15" s="22"/>
      <c r="Q15" s="22"/>
    </row>
    <row r="16" spans="1:17" ht="14" x14ac:dyDescent="0.15">
      <c r="A16" s="43" t="s">
        <v>2673</v>
      </c>
      <c r="B16" s="22"/>
      <c r="C16" s="22"/>
      <c r="D16" s="22"/>
      <c r="E16" s="22"/>
      <c r="F16" s="61"/>
      <c r="G16" s="61"/>
      <c r="H16" s="91"/>
      <c r="I16" s="44"/>
      <c r="J16" s="45"/>
      <c r="K16" s="87" t="str">
        <f t="shared" ca="1" si="0"/>
        <v/>
      </c>
      <c r="L16" s="75"/>
      <c r="M16" s="76" t="str">
        <f t="shared" si="1"/>
        <v/>
      </c>
      <c r="N16" s="76" t="str">
        <f t="shared" si="2"/>
        <v/>
      </c>
      <c r="O16" s="44"/>
      <c r="P16" s="22"/>
      <c r="Q16" s="22"/>
    </row>
    <row r="17" spans="1:17" ht="14" x14ac:dyDescent="0.15">
      <c r="A17" s="43" t="s">
        <v>2674</v>
      </c>
      <c r="B17" s="22"/>
      <c r="C17" s="22"/>
      <c r="D17" s="22"/>
      <c r="E17" s="22"/>
      <c r="F17" s="61"/>
      <c r="G17" s="61"/>
      <c r="H17" s="91"/>
      <c r="I17" s="44"/>
      <c r="J17" s="45"/>
      <c r="K17" s="87" t="str">
        <f t="shared" ca="1" si="0"/>
        <v/>
      </c>
      <c r="L17" s="75"/>
      <c r="M17" s="76" t="str">
        <f t="shared" si="1"/>
        <v/>
      </c>
      <c r="N17" s="76" t="str">
        <f t="shared" si="2"/>
        <v/>
      </c>
      <c r="O17" s="44"/>
      <c r="P17" s="22"/>
      <c r="Q17" s="22"/>
    </row>
    <row r="18" spans="1:17" ht="14" x14ac:dyDescent="0.15">
      <c r="A18" s="43" t="s">
        <v>2675</v>
      </c>
      <c r="B18" s="22"/>
      <c r="C18" s="22"/>
      <c r="D18" s="22"/>
      <c r="E18" s="22"/>
      <c r="F18" s="61"/>
      <c r="G18" s="61"/>
      <c r="H18" s="91"/>
      <c r="I18" s="44"/>
      <c r="J18" s="45"/>
      <c r="K18" s="87" t="str">
        <f t="shared" ca="1" si="0"/>
        <v/>
      </c>
      <c r="L18" s="75"/>
      <c r="M18" s="76" t="str">
        <f t="shared" si="1"/>
        <v/>
      </c>
      <c r="N18" s="76" t="str">
        <f t="shared" si="2"/>
        <v/>
      </c>
      <c r="O18" s="44"/>
      <c r="P18" s="22"/>
      <c r="Q18" s="22"/>
    </row>
    <row r="19" spans="1:17" ht="14" x14ac:dyDescent="0.15">
      <c r="A19" s="43" t="s">
        <v>2676</v>
      </c>
      <c r="B19" s="22"/>
      <c r="C19" s="22"/>
      <c r="D19" s="22"/>
      <c r="E19" s="22"/>
      <c r="F19" s="61"/>
      <c r="G19" s="61"/>
      <c r="H19" s="91"/>
      <c r="I19" s="44"/>
      <c r="J19" s="45"/>
      <c r="K19" s="87" t="str">
        <f t="shared" ca="1" si="0"/>
        <v/>
      </c>
      <c r="L19" s="75"/>
      <c r="M19" s="76" t="str">
        <f t="shared" si="1"/>
        <v/>
      </c>
      <c r="N19" s="76" t="str">
        <f t="shared" si="2"/>
        <v/>
      </c>
      <c r="O19" s="44"/>
      <c r="P19" s="22"/>
      <c r="Q19" s="22"/>
    </row>
    <row r="20" spans="1:17" ht="14" x14ac:dyDescent="0.15">
      <c r="A20" s="43" t="s">
        <v>2677</v>
      </c>
      <c r="B20" s="22"/>
      <c r="C20" s="22"/>
      <c r="D20" s="22"/>
      <c r="E20" s="22"/>
      <c r="F20" s="61"/>
      <c r="G20" s="61"/>
      <c r="H20" s="91"/>
      <c r="I20" s="44"/>
      <c r="J20" s="45"/>
      <c r="K20" s="87" t="str">
        <f t="shared" ca="1" si="0"/>
        <v/>
      </c>
      <c r="L20" s="75"/>
      <c r="M20" s="76" t="str">
        <f t="shared" si="1"/>
        <v/>
      </c>
      <c r="N20" s="76" t="str">
        <f t="shared" si="2"/>
        <v/>
      </c>
      <c r="O20" s="44"/>
      <c r="P20" s="22"/>
      <c r="Q20" s="22"/>
    </row>
    <row r="21" spans="1:17" ht="14" x14ac:dyDescent="0.15">
      <c r="A21" s="43" t="s">
        <v>2678</v>
      </c>
      <c r="B21" s="22"/>
      <c r="C21" s="22"/>
      <c r="D21" s="22"/>
      <c r="E21" s="22"/>
      <c r="F21" s="61"/>
      <c r="G21" s="61"/>
      <c r="H21" s="91"/>
      <c r="I21" s="44"/>
      <c r="J21" s="45"/>
      <c r="K21" s="87" t="str">
        <f t="shared" ca="1" si="0"/>
        <v/>
      </c>
      <c r="L21" s="75"/>
      <c r="M21" s="76" t="str">
        <f t="shared" si="1"/>
        <v/>
      </c>
      <c r="N21" s="76" t="str">
        <f t="shared" si="2"/>
        <v/>
      </c>
      <c r="O21" s="44"/>
      <c r="P21" s="22"/>
      <c r="Q21" s="22"/>
    </row>
    <row r="22" spans="1:17" ht="14" x14ac:dyDescent="0.15">
      <c r="A22" s="43" t="s">
        <v>2679</v>
      </c>
      <c r="B22" s="22"/>
      <c r="C22" s="22"/>
      <c r="D22" s="22"/>
      <c r="E22" s="22"/>
      <c r="F22" s="61"/>
      <c r="G22" s="61"/>
      <c r="H22" s="91"/>
      <c r="I22" s="44"/>
      <c r="J22" s="45"/>
      <c r="K22" s="87" t="str">
        <f t="shared" ca="1" si="0"/>
        <v/>
      </c>
      <c r="L22" s="75"/>
      <c r="M22" s="76" t="str">
        <f t="shared" si="1"/>
        <v/>
      </c>
      <c r="N22" s="76" t="str">
        <f t="shared" si="2"/>
        <v/>
      </c>
      <c r="O22" s="44"/>
      <c r="P22" s="22"/>
      <c r="Q22" s="22"/>
    </row>
    <row r="23" spans="1:17" ht="14" x14ac:dyDescent="0.15">
      <c r="A23" s="43" t="s">
        <v>2680</v>
      </c>
      <c r="B23" s="22"/>
      <c r="C23" s="22"/>
      <c r="D23" s="22"/>
      <c r="E23" s="22"/>
      <c r="F23" s="61"/>
      <c r="G23" s="61"/>
      <c r="H23" s="91"/>
      <c r="I23" s="44"/>
      <c r="J23" s="45"/>
      <c r="K23" s="87" t="str">
        <f t="shared" ca="1" si="0"/>
        <v/>
      </c>
      <c r="L23" s="75"/>
      <c r="M23" s="76" t="str">
        <f t="shared" si="1"/>
        <v/>
      </c>
      <c r="N23" s="76" t="str">
        <f t="shared" si="2"/>
        <v/>
      </c>
      <c r="O23" s="44"/>
      <c r="P23" s="22"/>
      <c r="Q23" s="22"/>
    </row>
    <row r="24" spans="1:17" ht="14" x14ac:dyDescent="0.15">
      <c r="A24" s="43" t="s">
        <v>2681</v>
      </c>
      <c r="B24" s="22"/>
      <c r="C24" s="22"/>
      <c r="D24" s="22"/>
      <c r="E24" s="22"/>
      <c r="F24" s="61"/>
      <c r="G24" s="61"/>
      <c r="H24" s="91"/>
      <c r="I24" s="44"/>
      <c r="J24" s="45"/>
      <c r="K24" s="87" t="str">
        <f t="shared" ca="1" si="0"/>
        <v/>
      </c>
      <c r="L24" s="75"/>
      <c r="M24" s="76" t="str">
        <f t="shared" si="1"/>
        <v/>
      </c>
      <c r="N24" s="76" t="str">
        <f t="shared" si="2"/>
        <v/>
      </c>
      <c r="O24" s="44"/>
      <c r="P24" s="22"/>
      <c r="Q24" s="22"/>
    </row>
    <row r="25" spans="1:17" ht="14" x14ac:dyDescent="0.15">
      <c r="A25" s="43" t="s">
        <v>2682</v>
      </c>
      <c r="B25" s="22"/>
      <c r="C25" s="22"/>
      <c r="D25" s="22"/>
      <c r="E25" s="22"/>
      <c r="F25" s="61"/>
      <c r="G25" s="61"/>
      <c r="H25" s="91"/>
      <c r="I25" s="44"/>
      <c r="J25" s="45"/>
      <c r="K25" s="87" t="str">
        <f t="shared" ca="1" si="0"/>
        <v/>
      </c>
      <c r="L25" s="75"/>
      <c r="M25" s="76" t="str">
        <f t="shared" si="1"/>
        <v/>
      </c>
      <c r="N25" s="76" t="str">
        <f t="shared" si="2"/>
        <v/>
      </c>
      <c r="O25" s="44"/>
      <c r="P25" s="22"/>
      <c r="Q25" s="22"/>
    </row>
    <row r="26" spans="1:17" ht="14" x14ac:dyDescent="0.15">
      <c r="A26" s="43" t="s">
        <v>2683</v>
      </c>
      <c r="B26" s="22"/>
      <c r="C26" s="22"/>
      <c r="D26" s="22"/>
      <c r="E26" s="22"/>
      <c r="F26" s="61"/>
      <c r="G26" s="61"/>
      <c r="H26" s="91"/>
      <c r="I26" s="44"/>
      <c r="J26" s="45"/>
      <c r="K26" s="87" t="str">
        <f t="shared" ca="1" si="0"/>
        <v/>
      </c>
      <c r="L26" s="75"/>
      <c r="M26" s="76" t="str">
        <f t="shared" si="1"/>
        <v/>
      </c>
      <c r="N26" s="76" t="str">
        <f t="shared" si="2"/>
        <v/>
      </c>
      <c r="O26" s="44"/>
      <c r="P26" s="22"/>
      <c r="Q26" s="22"/>
    </row>
    <row r="27" spans="1:17" ht="14" x14ac:dyDescent="0.15">
      <c r="A27" s="43" t="s">
        <v>2684</v>
      </c>
      <c r="B27" s="22"/>
      <c r="C27" s="22"/>
      <c r="D27" s="22"/>
      <c r="E27" s="22"/>
      <c r="F27" s="61"/>
      <c r="G27" s="61"/>
      <c r="H27" s="91"/>
      <c r="I27" s="44"/>
      <c r="J27" s="45"/>
      <c r="K27" s="87" t="str">
        <f t="shared" ca="1" si="0"/>
        <v/>
      </c>
      <c r="L27" s="75"/>
      <c r="M27" s="76" t="str">
        <f t="shared" si="1"/>
        <v/>
      </c>
      <c r="N27" s="76" t="str">
        <f t="shared" si="2"/>
        <v/>
      </c>
      <c r="O27" s="44"/>
      <c r="P27" s="22"/>
      <c r="Q27" s="22"/>
    </row>
    <row r="28" spans="1:17" ht="14" x14ac:dyDescent="0.15">
      <c r="A28" s="43" t="s">
        <v>2685</v>
      </c>
      <c r="B28" s="22"/>
      <c r="C28" s="22"/>
      <c r="D28" s="22"/>
      <c r="E28" s="22"/>
      <c r="F28" s="61"/>
      <c r="G28" s="61"/>
      <c r="H28" s="91"/>
      <c r="I28" s="44"/>
      <c r="J28" s="45"/>
      <c r="K28" s="87" t="str">
        <f t="shared" ca="1" si="0"/>
        <v/>
      </c>
      <c r="L28" s="75"/>
      <c r="M28" s="76" t="str">
        <f t="shared" si="1"/>
        <v/>
      </c>
      <c r="N28" s="76" t="str">
        <f t="shared" si="2"/>
        <v/>
      </c>
      <c r="O28" s="44"/>
      <c r="P28" s="22"/>
      <c r="Q28" s="22"/>
    </row>
    <row r="29" spans="1:17" ht="14" x14ac:dyDescent="0.15">
      <c r="A29" s="43" t="s">
        <v>2686</v>
      </c>
      <c r="B29" s="22"/>
      <c r="C29" s="22"/>
      <c r="D29" s="22"/>
      <c r="E29" s="22"/>
      <c r="F29" s="61"/>
      <c r="G29" s="61"/>
      <c r="H29" s="91"/>
      <c r="I29" s="44"/>
      <c r="J29" s="45"/>
      <c r="K29" s="87" t="str">
        <f t="shared" ca="1" si="0"/>
        <v/>
      </c>
      <c r="L29" s="75"/>
      <c r="M29" s="76" t="str">
        <f t="shared" si="1"/>
        <v/>
      </c>
      <c r="N29" s="76" t="str">
        <f t="shared" si="2"/>
        <v/>
      </c>
      <c r="O29" s="44"/>
      <c r="P29" s="22"/>
      <c r="Q29" s="22"/>
    </row>
    <row r="30" spans="1:17" ht="14" x14ac:dyDescent="0.15">
      <c r="A30" s="43" t="s">
        <v>2687</v>
      </c>
      <c r="B30" s="22"/>
      <c r="C30" s="22"/>
      <c r="D30" s="22"/>
      <c r="E30" s="22"/>
      <c r="F30" s="61"/>
      <c r="G30" s="61"/>
      <c r="H30" s="91"/>
      <c r="I30" s="44"/>
      <c r="J30" s="45"/>
      <c r="K30" s="87" t="str">
        <f t="shared" ca="1" si="0"/>
        <v/>
      </c>
      <c r="L30" s="75"/>
      <c r="M30" s="76" t="str">
        <f t="shared" si="1"/>
        <v/>
      </c>
      <c r="N30" s="76" t="str">
        <f t="shared" si="2"/>
        <v/>
      </c>
      <c r="O30" s="44"/>
      <c r="P30" s="22"/>
      <c r="Q30" s="22"/>
    </row>
    <row r="31" spans="1:17" ht="14" x14ac:dyDescent="0.15">
      <c r="A31" s="43" t="s">
        <v>2688</v>
      </c>
      <c r="B31" s="22"/>
      <c r="C31" s="22"/>
      <c r="D31" s="22"/>
      <c r="E31" s="22"/>
      <c r="F31" s="61"/>
      <c r="G31" s="61"/>
      <c r="H31" s="91"/>
      <c r="I31" s="44"/>
      <c r="J31" s="45"/>
      <c r="K31" s="87" t="str">
        <f t="shared" ca="1" si="0"/>
        <v/>
      </c>
      <c r="L31" s="75"/>
      <c r="M31" s="76" t="str">
        <f t="shared" si="1"/>
        <v/>
      </c>
      <c r="N31" s="76" t="str">
        <f t="shared" si="2"/>
        <v/>
      </c>
      <c r="O31" s="44"/>
      <c r="P31" s="22"/>
      <c r="Q31" s="22"/>
    </row>
    <row r="32" spans="1:17" ht="14" x14ac:dyDescent="0.15">
      <c r="A32" s="43" t="s">
        <v>2689</v>
      </c>
      <c r="B32" s="22"/>
      <c r="C32" s="22"/>
      <c r="D32" s="22"/>
      <c r="E32" s="22"/>
      <c r="F32" s="61"/>
      <c r="G32" s="61"/>
      <c r="H32" s="91"/>
      <c r="I32" s="44"/>
      <c r="J32" s="45"/>
      <c r="K32" s="87" t="str">
        <f t="shared" ca="1" si="0"/>
        <v/>
      </c>
      <c r="L32" s="75"/>
      <c r="M32" s="76" t="str">
        <f t="shared" si="1"/>
        <v/>
      </c>
      <c r="N32" s="76" t="str">
        <f t="shared" si="2"/>
        <v/>
      </c>
      <c r="O32" s="44"/>
      <c r="P32" s="22"/>
      <c r="Q32" s="22"/>
    </row>
    <row r="33" spans="1:17" ht="14" x14ac:dyDescent="0.15">
      <c r="A33" s="43" t="s">
        <v>2690</v>
      </c>
      <c r="B33" s="22"/>
      <c r="C33" s="22"/>
      <c r="D33" s="22"/>
      <c r="E33" s="22"/>
      <c r="F33" s="61"/>
      <c r="G33" s="61"/>
      <c r="H33" s="91"/>
      <c r="I33" s="44"/>
      <c r="J33" s="45"/>
      <c r="K33" s="87" t="str">
        <f t="shared" ca="1" si="0"/>
        <v/>
      </c>
      <c r="L33" s="75"/>
      <c r="M33" s="76" t="str">
        <f t="shared" si="1"/>
        <v/>
      </c>
      <c r="N33" s="76" t="str">
        <f t="shared" si="2"/>
        <v/>
      </c>
      <c r="O33" s="44"/>
      <c r="P33" s="22"/>
      <c r="Q33" s="22"/>
    </row>
    <row r="34" spans="1:17" ht="14" x14ac:dyDescent="0.15">
      <c r="A34" s="43" t="s">
        <v>2691</v>
      </c>
      <c r="B34" s="22"/>
      <c r="C34" s="22"/>
      <c r="D34" s="22"/>
      <c r="E34" s="22"/>
      <c r="F34" s="61"/>
      <c r="G34" s="61"/>
      <c r="H34" s="91"/>
      <c r="I34" s="44"/>
      <c r="J34" s="45"/>
      <c r="K34" s="87" t="str">
        <f t="shared" ca="1" si="0"/>
        <v/>
      </c>
      <c r="L34" s="75"/>
      <c r="M34" s="76" t="str">
        <f t="shared" si="1"/>
        <v/>
      </c>
      <c r="N34" s="76" t="str">
        <f t="shared" si="2"/>
        <v/>
      </c>
      <c r="O34" s="44"/>
      <c r="P34" s="22"/>
      <c r="Q34" s="22"/>
    </row>
    <row r="35" spans="1:17" ht="14" x14ac:dyDescent="0.15">
      <c r="A35" s="43" t="s">
        <v>2692</v>
      </c>
      <c r="B35" s="22"/>
      <c r="C35" s="22"/>
      <c r="D35" s="22"/>
      <c r="E35" s="22"/>
      <c r="F35" s="61"/>
      <c r="G35" s="61"/>
      <c r="H35" s="91"/>
      <c r="I35" s="44"/>
      <c r="J35" s="45"/>
      <c r="K35" s="87" t="str">
        <f t="shared" ca="1" si="0"/>
        <v/>
      </c>
      <c r="L35" s="75"/>
      <c r="M35" s="76" t="str">
        <f t="shared" si="1"/>
        <v/>
      </c>
      <c r="N35" s="76" t="str">
        <f t="shared" si="2"/>
        <v/>
      </c>
      <c r="O35" s="44"/>
      <c r="P35" s="22"/>
      <c r="Q35" s="22"/>
    </row>
    <row r="36" spans="1:17" ht="14" x14ac:dyDescent="0.15">
      <c r="A36" s="43" t="s">
        <v>2693</v>
      </c>
      <c r="B36" s="22"/>
      <c r="C36" s="22"/>
      <c r="D36" s="22"/>
      <c r="E36" s="22"/>
      <c r="F36" s="61"/>
      <c r="G36" s="61"/>
      <c r="H36" s="91"/>
      <c r="I36" s="44"/>
      <c r="J36" s="45"/>
      <c r="K36" s="87" t="str">
        <f t="shared" ca="1" si="0"/>
        <v/>
      </c>
      <c r="L36" s="75"/>
      <c r="M36" s="76" t="str">
        <f t="shared" si="1"/>
        <v/>
      </c>
      <c r="N36" s="76" t="str">
        <f t="shared" si="2"/>
        <v/>
      </c>
      <c r="O36" s="44"/>
      <c r="P36" s="22"/>
      <c r="Q36" s="22"/>
    </row>
    <row r="37" spans="1:17" ht="14" x14ac:dyDescent="0.15">
      <c r="A37" s="43" t="s">
        <v>2694</v>
      </c>
      <c r="B37" s="22"/>
      <c r="C37" s="22"/>
      <c r="D37" s="22"/>
      <c r="E37" s="22"/>
      <c r="F37" s="61"/>
      <c r="G37" s="61"/>
      <c r="H37" s="91"/>
      <c r="I37" s="44"/>
      <c r="J37" s="45"/>
      <c r="K37" s="87" t="str">
        <f t="shared" ca="1" si="0"/>
        <v/>
      </c>
      <c r="L37" s="75"/>
      <c r="M37" s="76" t="str">
        <f t="shared" si="1"/>
        <v/>
      </c>
      <c r="N37" s="76" t="str">
        <f t="shared" si="2"/>
        <v/>
      </c>
      <c r="O37" s="44"/>
      <c r="P37" s="22"/>
      <c r="Q37" s="22"/>
    </row>
    <row r="38" spans="1:17" ht="14" x14ac:dyDescent="0.15">
      <c r="A38" s="43" t="s">
        <v>2695</v>
      </c>
      <c r="B38" s="22"/>
      <c r="C38" s="22"/>
      <c r="D38" s="22"/>
      <c r="E38" s="22"/>
      <c r="F38" s="61"/>
      <c r="G38" s="61"/>
      <c r="H38" s="91"/>
      <c r="I38" s="44"/>
      <c r="J38" s="45"/>
      <c r="K38" s="87" t="str">
        <f t="shared" ca="1" si="0"/>
        <v/>
      </c>
      <c r="L38" s="75"/>
      <c r="M38" s="76" t="str">
        <f t="shared" si="1"/>
        <v/>
      </c>
      <c r="N38" s="76" t="str">
        <f t="shared" si="2"/>
        <v/>
      </c>
      <c r="O38" s="44"/>
      <c r="P38" s="22"/>
      <c r="Q38" s="22"/>
    </row>
    <row r="39" spans="1:17" ht="14" x14ac:dyDescent="0.15">
      <c r="A39" s="43" t="s">
        <v>2696</v>
      </c>
      <c r="B39" s="22"/>
      <c r="C39" s="22"/>
      <c r="D39" s="22"/>
      <c r="E39" s="22"/>
      <c r="F39" s="61"/>
      <c r="G39" s="61"/>
      <c r="H39" s="91"/>
      <c r="I39" s="44"/>
      <c r="J39" s="45"/>
      <c r="K39" s="87" t="str">
        <f t="shared" ca="1" si="0"/>
        <v/>
      </c>
      <c r="L39" s="75"/>
      <c r="M39" s="76" t="str">
        <f t="shared" si="1"/>
        <v/>
      </c>
      <c r="N39" s="76" t="str">
        <f t="shared" si="2"/>
        <v/>
      </c>
      <c r="O39" s="44"/>
      <c r="P39" s="22"/>
      <c r="Q39" s="22"/>
    </row>
    <row r="40" spans="1:17" ht="14" x14ac:dyDescent="0.15">
      <c r="A40" s="43" t="s">
        <v>2697</v>
      </c>
      <c r="B40" s="22"/>
      <c r="C40" s="22"/>
      <c r="D40" s="22"/>
      <c r="E40" s="22"/>
      <c r="F40" s="61"/>
      <c r="G40" s="61"/>
      <c r="H40" s="91"/>
      <c r="I40" s="44"/>
      <c r="J40" s="45"/>
      <c r="K40" s="87" t="str">
        <f t="shared" ca="1" si="0"/>
        <v/>
      </c>
      <c r="L40" s="75"/>
      <c r="M40" s="76" t="str">
        <f t="shared" si="1"/>
        <v/>
      </c>
      <c r="N40" s="76" t="str">
        <f t="shared" si="2"/>
        <v/>
      </c>
      <c r="O40" s="44"/>
      <c r="P40" s="22"/>
      <c r="Q40" s="22"/>
    </row>
    <row r="41" spans="1:17" ht="14" x14ac:dyDescent="0.15">
      <c r="A41" s="43" t="s">
        <v>2698</v>
      </c>
      <c r="B41" s="22"/>
      <c r="C41" s="22"/>
      <c r="D41" s="22"/>
      <c r="E41" s="22"/>
      <c r="F41" s="61"/>
      <c r="G41" s="61"/>
      <c r="H41" s="91"/>
      <c r="I41" s="44"/>
      <c r="J41" s="45"/>
      <c r="K41" s="87" t="str">
        <f t="shared" ca="1" si="0"/>
        <v/>
      </c>
      <c r="L41" s="75"/>
      <c r="M41" s="76" t="str">
        <f t="shared" si="1"/>
        <v/>
      </c>
      <c r="N41" s="76" t="str">
        <f t="shared" si="2"/>
        <v/>
      </c>
      <c r="O41" s="44"/>
      <c r="P41" s="22"/>
      <c r="Q41" s="22"/>
    </row>
    <row r="42" spans="1:17" ht="14" x14ac:dyDescent="0.15">
      <c r="A42" s="43" t="s">
        <v>2699</v>
      </c>
      <c r="B42" s="22"/>
      <c r="C42" s="22"/>
      <c r="D42" s="22"/>
      <c r="E42" s="22"/>
      <c r="F42" s="61"/>
      <c r="G42" s="61"/>
      <c r="H42" s="91"/>
      <c r="I42" s="44"/>
      <c r="J42" s="45"/>
      <c r="K42" s="87" t="str">
        <f t="shared" ca="1" si="0"/>
        <v/>
      </c>
      <c r="L42" s="75"/>
      <c r="M42" s="76" t="str">
        <f t="shared" si="1"/>
        <v/>
      </c>
      <c r="N42" s="76" t="str">
        <f t="shared" si="2"/>
        <v/>
      </c>
      <c r="O42" s="44"/>
      <c r="P42" s="22"/>
      <c r="Q42" s="22"/>
    </row>
    <row r="43" spans="1:17" ht="14" x14ac:dyDescent="0.15">
      <c r="A43" s="43" t="s">
        <v>2700</v>
      </c>
      <c r="B43" s="22"/>
      <c r="C43" s="22"/>
      <c r="D43" s="22"/>
      <c r="E43" s="22"/>
      <c r="F43" s="61"/>
      <c r="G43" s="61"/>
      <c r="H43" s="91"/>
      <c r="I43" s="44"/>
      <c r="J43" s="45"/>
      <c r="K43" s="87" t="str">
        <f t="shared" ca="1" si="0"/>
        <v/>
      </c>
      <c r="L43" s="75"/>
      <c r="M43" s="76" t="str">
        <f t="shared" si="1"/>
        <v/>
      </c>
      <c r="N43" s="76" t="str">
        <f t="shared" si="2"/>
        <v/>
      </c>
      <c r="O43" s="44"/>
      <c r="P43" s="22"/>
      <c r="Q43" s="22"/>
    </row>
    <row r="44" spans="1:17" ht="14" x14ac:dyDescent="0.15">
      <c r="A44" s="43" t="s">
        <v>2701</v>
      </c>
      <c r="B44" s="22"/>
      <c r="C44" s="22"/>
      <c r="D44" s="22"/>
      <c r="E44" s="22"/>
      <c r="F44" s="61"/>
      <c r="G44" s="61"/>
      <c r="H44" s="91"/>
      <c r="I44" s="44"/>
      <c r="J44" s="45"/>
      <c r="K44" s="87" t="str">
        <f t="shared" ca="1" si="0"/>
        <v/>
      </c>
      <c r="L44" s="75"/>
      <c r="M44" s="76" t="str">
        <f t="shared" si="1"/>
        <v/>
      </c>
      <c r="N44" s="76" t="str">
        <f t="shared" si="2"/>
        <v/>
      </c>
      <c r="O44" s="44"/>
      <c r="P44" s="22"/>
      <c r="Q44" s="22"/>
    </row>
    <row r="45" spans="1:17" ht="14" x14ac:dyDescent="0.15">
      <c r="A45" s="43" t="s">
        <v>2702</v>
      </c>
      <c r="B45" s="22"/>
      <c r="C45" s="22"/>
      <c r="D45" s="22"/>
      <c r="E45" s="22"/>
      <c r="F45" s="61"/>
      <c r="G45" s="61"/>
      <c r="H45" s="91"/>
      <c r="I45" s="44"/>
      <c r="J45" s="45"/>
      <c r="K45" s="87" t="str">
        <f t="shared" ca="1" si="0"/>
        <v/>
      </c>
      <c r="L45" s="75"/>
      <c r="M45" s="76" t="str">
        <f t="shared" si="1"/>
        <v/>
      </c>
      <c r="N45" s="76" t="str">
        <f t="shared" si="2"/>
        <v/>
      </c>
      <c r="O45" s="44"/>
      <c r="P45" s="22"/>
      <c r="Q45" s="22"/>
    </row>
    <row r="46" spans="1:17" ht="14" x14ac:dyDescent="0.15">
      <c r="A46" s="43" t="s">
        <v>2703</v>
      </c>
      <c r="B46" s="22"/>
      <c r="C46" s="22"/>
      <c r="D46" s="22"/>
      <c r="E46" s="22"/>
      <c r="F46" s="61"/>
      <c r="G46" s="61"/>
      <c r="H46" s="91"/>
      <c r="I46" s="44"/>
      <c r="J46" s="45"/>
      <c r="K46" s="87" t="str">
        <f t="shared" ca="1" si="0"/>
        <v/>
      </c>
      <c r="L46" s="75"/>
      <c r="M46" s="76" t="str">
        <f t="shared" si="1"/>
        <v/>
      </c>
      <c r="N46" s="76" t="str">
        <f t="shared" si="2"/>
        <v/>
      </c>
      <c r="O46" s="44"/>
      <c r="P46" s="22"/>
      <c r="Q46" s="22"/>
    </row>
    <row r="47" spans="1:17" ht="14" x14ac:dyDescent="0.15">
      <c r="A47" s="23"/>
      <c r="B47" s="26" t="s">
        <v>2261</v>
      </c>
      <c r="C47" s="23"/>
      <c r="D47" s="23"/>
      <c r="E47" s="23"/>
      <c r="F47" s="79">
        <f>SUMIF($A$6:$A$46,"&lt;&gt;Example",F6:F46)</f>
        <v>0</v>
      </c>
      <c r="G47" s="79">
        <f>SUMIF($A$6:$A$46,"&lt;&gt;Example",G6:G46)</f>
        <v>0</v>
      </c>
      <c r="H47" s="23"/>
      <c r="I47" s="23"/>
      <c r="J47" s="23"/>
      <c r="K47" s="23"/>
      <c r="L47" s="82">
        <f>SUMIF($A$6:$A$46,"&lt;&gt;Example",L6:L46)</f>
        <v>0</v>
      </c>
      <c r="M47" s="82" t="str">
        <f>IF(F47&gt;0,L47/F47,"")</f>
        <v/>
      </c>
      <c r="N47" s="82" t="str">
        <f>IF(G47&gt;0,L47/G47,"")</f>
        <v/>
      </c>
      <c r="O47" s="23"/>
      <c r="P47" s="23"/>
      <c r="Q47" s="23"/>
    </row>
  </sheetData>
  <autoFilter ref="A5:Q46" xr:uid="{00000000-0009-0000-0000-00000E000000}"/>
  <conditionalFormatting sqref="H6:H46">
    <cfRule type="dataBar" priority="3">
      <dataBar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{772E6428-18EB-40CF-94DA-96F7211B236E}</x14:id>
        </ext>
      </extLst>
    </cfRule>
  </conditionalFormatting>
  <dataValidations count="1">
    <dataValidation type="date" operator="greaterThan" allowBlank="1" showErrorMessage="1" error="Enter a valid date (dd/mm/yyyy)." sqref="J6:J46" xr:uid="{00000000-0002-0000-0E00-000000000000}">
      <formula1>36526</formula1>
      <formula2>0</formula2>
    </dataValidation>
  </dataValidations>
  <pageMargins left="0.4" right="0.4" top="0.5" bottom="0.5" header="0.511811023622047" footer="0.5"/>
  <pageSetup paperSize="9" fitToHeight="0" orientation="landscape" horizontalDpi="300" verticalDpi="300"/>
  <headerFooter>
    <oddFooter>&amp;L&amp;8 CTO Consulting | Operating Model Assessment Toolkit&amp;R&amp;8 &amp;A | Page 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2E6428-18EB-40CF-94DA-96F7211B236E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5B9BD5"/>
            </x14:dataBar>
          </x14:cfRule>
          <xm:sqref>H6:H46</xm:sqref>
        </x14:conditionalFormatting>
        <x14:conditionalFormatting xmlns:xm="http://schemas.microsoft.com/office/excel/2006/main">
          <x14:cfRule type="expression" priority="2" id="{00000000-000E-0000-0E00-000002000000}">
            <xm:f>AND(ISNUMBER($K6),$K6&lt;=Engagement!$C$44)</xm:f>
            <x14:dxf>
              <font>
                <b/>
                <color rgb="FF9C5700"/>
                <name val="Arial"/>
                <charset val="1"/>
              </font>
              <fill>
                <patternFill>
                  <bgColor rgb="FFFFEB9C"/>
                </patternFill>
              </fill>
            </x14:dxf>
          </x14:cfRule>
          <xm:sqref>K6:K46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Invalid entry" error="Please select a value from the list (values are maintained on the Lists tab)." xr:uid="{00000000-0002-0000-0E00-000001000000}">
          <x14:formula1>
            <xm:f>Lists!$Y$2:$Y$9</xm:f>
          </x14:formula1>
          <x14:formula2>
            <xm:f>0</xm:f>
          </x14:formula2>
          <xm:sqref>D6:D46</xm:sqref>
        </x14:dataValidation>
        <x14:dataValidation type="list" allowBlank="1" showErrorMessage="1" errorTitle="Invalid entry" error="Please select a value from the list (values are maintained on the Lists tab)." xr:uid="{00000000-0002-0000-0E00-000002000000}">
          <x14:formula1>
            <xm:f>Lists!$Z$2:$Z$5</xm:f>
          </x14:formula1>
          <x14:formula2>
            <xm:f>0</xm:f>
          </x14:formula2>
          <xm:sqref>I6:I46</xm:sqref>
        </x14:dataValidation>
        <x14:dataValidation type="list" allowBlank="1" showErrorMessage="1" errorTitle="Invalid entry" error="Please select a value from the list (values are maintained on the Lists tab)." xr:uid="{00000000-0002-0000-0E00-000003000000}">
          <x14:formula1>
            <xm:f>Lists!$H$2:$H$3</xm:f>
          </x14:formula1>
          <x14:formula2>
            <xm:f>0</xm:f>
          </x14:formula2>
          <xm:sqref>O6:O46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2E75B6"/>
    <pageSetUpPr fitToPage="1"/>
  </sheetPr>
  <dimension ref="A1:O38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8.6640625" defaultRowHeight="13" x14ac:dyDescent="0.15"/>
  <cols>
    <col min="1" max="1" width="9" customWidth="1"/>
    <col min="2" max="2" width="26" customWidth="1"/>
    <col min="3" max="8" width="14" customWidth="1"/>
    <col min="9" max="9" width="15" customWidth="1"/>
    <col min="10" max="11" width="10" customWidth="1"/>
    <col min="12" max="12" width="13" customWidth="1"/>
    <col min="13" max="13" width="15" customWidth="1"/>
    <col min="14" max="14" width="10" customWidth="1"/>
    <col min="15" max="15" width="34" customWidth="1"/>
  </cols>
  <sheetData>
    <row r="1" spans="1:15" ht="27.75" customHeight="1" x14ac:dyDescent="0.15">
      <c r="A1" s="33" t="s">
        <v>54</v>
      </c>
    </row>
    <row r="2" spans="1:15" x14ac:dyDescent="0.15">
      <c r="A2" s="34" t="s">
        <v>2704</v>
      </c>
    </row>
    <row r="3" spans="1:15" x14ac:dyDescent="0.15">
      <c r="A3" s="38" t="s">
        <v>423</v>
      </c>
    </row>
    <row r="5" spans="1:15" ht="48" customHeight="1" x14ac:dyDescent="0.15">
      <c r="A5" s="20" t="s">
        <v>424</v>
      </c>
      <c r="B5" s="20" t="s">
        <v>2209</v>
      </c>
      <c r="C5" s="20" t="s">
        <v>2705</v>
      </c>
      <c r="D5" s="20" t="s">
        <v>2706</v>
      </c>
      <c r="E5" s="20" t="s">
        <v>2707</v>
      </c>
      <c r="F5" s="20" t="s">
        <v>2708</v>
      </c>
      <c r="G5" s="20" t="s">
        <v>2709</v>
      </c>
      <c r="H5" s="20" t="s">
        <v>2710</v>
      </c>
      <c r="I5" s="20" t="s">
        <v>2711</v>
      </c>
      <c r="J5" s="20" t="s">
        <v>2712</v>
      </c>
      <c r="K5" s="20" t="s">
        <v>2713</v>
      </c>
      <c r="L5" s="20" t="s">
        <v>2653</v>
      </c>
      <c r="M5" s="20" t="s">
        <v>2714</v>
      </c>
      <c r="N5" s="20" t="s">
        <v>2715</v>
      </c>
      <c r="O5" s="20" t="s">
        <v>1888</v>
      </c>
    </row>
    <row r="6" spans="1:15" ht="28" x14ac:dyDescent="0.15">
      <c r="A6" s="39" t="s">
        <v>436</v>
      </c>
      <c r="B6" s="25" t="s">
        <v>2227</v>
      </c>
      <c r="C6" s="69">
        <v>21450000</v>
      </c>
      <c r="D6" s="69">
        <v>1850000</v>
      </c>
      <c r="E6" s="69">
        <v>2600000</v>
      </c>
      <c r="F6" s="69">
        <v>2150000</v>
      </c>
      <c r="G6" s="69">
        <v>3200000</v>
      </c>
      <c r="H6" s="69">
        <v>900000</v>
      </c>
      <c r="I6" s="70">
        <f t="shared" ref="I6:I36" si="0">IF(COUNT(C6:H6)=0,"",SUM(C6:H6))</f>
        <v>32150000</v>
      </c>
      <c r="J6" s="88" t="str">
        <f t="shared" ref="J6:J36" si="1">IF(AND(ISNUMBER(I6),A6&lt;&gt;"Example",$I$37&gt;0),I6/$I$37,"")</f>
        <v/>
      </c>
      <c r="K6" s="64">
        <v>228</v>
      </c>
      <c r="L6" s="70">
        <f t="shared" ref="L6:L36" si="2">IF(AND(ISNUMBER(I6),ISNUMBER(K6),K6&gt;0),I6/K6,"")</f>
        <v>141008.77192982455</v>
      </c>
      <c r="M6" s="69">
        <v>1200000</v>
      </c>
      <c r="N6" s="88">
        <f t="shared" ref="N6:N36" si="3">IF(AND(ISNUMBER(M6),ISNUMBER(I6),I6&gt;0),M6/I6,"")</f>
        <v>3.7325038880248837E-2</v>
      </c>
      <c r="O6" s="25" t="s">
        <v>2716</v>
      </c>
    </row>
    <row r="7" spans="1:15" ht="14" x14ac:dyDescent="0.15">
      <c r="A7" s="43" t="s">
        <v>2717</v>
      </c>
      <c r="B7" s="22"/>
      <c r="C7" s="75"/>
      <c r="D7" s="75"/>
      <c r="E7" s="75"/>
      <c r="F7" s="75"/>
      <c r="G7" s="75"/>
      <c r="H7" s="75"/>
      <c r="I7" s="76" t="str">
        <f t="shared" si="0"/>
        <v/>
      </c>
      <c r="J7" s="89" t="str">
        <f t="shared" si="1"/>
        <v/>
      </c>
      <c r="K7" s="71"/>
      <c r="L7" s="76" t="str">
        <f t="shared" si="2"/>
        <v/>
      </c>
      <c r="M7" s="75"/>
      <c r="N7" s="89" t="str">
        <f t="shared" si="3"/>
        <v/>
      </c>
      <c r="O7" s="22"/>
    </row>
    <row r="8" spans="1:15" ht="14" x14ac:dyDescent="0.15">
      <c r="A8" s="43" t="s">
        <v>2718</v>
      </c>
      <c r="B8" s="22"/>
      <c r="C8" s="75"/>
      <c r="D8" s="75"/>
      <c r="E8" s="75"/>
      <c r="F8" s="75"/>
      <c r="G8" s="75"/>
      <c r="H8" s="75"/>
      <c r="I8" s="76" t="str">
        <f t="shared" si="0"/>
        <v/>
      </c>
      <c r="J8" s="89" t="str">
        <f t="shared" si="1"/>
        <v/>
      </c>
      <c r="K8" s="71"/>
      <c r="L8" s="76" t="str">
        <f t="shared" si="2"/>
        <v/>
      </c>
      <c r="M8" s="75"/>
      <c r="N8" s="89" t="str">
        <f t="shared" si="3"/>
        <v/>
      </c>
      <c r="O8" s="22"/>
    </row>
    <row r="9" spans="1:15" ht="14" x14ac:dyDescent="0.15">
      <c r="A9" s="43" t="s">
        <v>2719</v>
      </c>
      <c r="B9" s="22"/>
      <c r="C9" s="75"/>
      <c r="D9" s="75"/>
      <c r="E9" s="75"/>
      <c r="F9" s="75"/>
      <c r="G9" s="75"/>
      <c r="H9" s="75"/>
      <c r="I9" s="76" t="str">
        <f t="shared" si="0"/>
        <v/>
      </c>
      <c r="J9" s="89" t="str">
        <f t="shared" si="1"/>
        <v/>
      </c>
      <c r="K9" s="71"/>
      <c r="L9" s="76" t="str">
        <f t="shared" si="2"/>
        <v/>
      </c>
      <c r="M9" s="75"/>
      <c r="N9" s="89" t="str">
        <f t="shared" si="3"/>
        <v/>
      </c>
      <c r="O9" s="22"/>
    </row>
    <row r="10" spans="1:15" ht="14" x14ac:dyDescent="0.15">
      <c r="A10" s="43" t="s">
        <v>2720</v>
      </c>
      <c r="B10" s="22"/>
      <c r="C10" s="75"/>
      <c r="D10" s="75"/>
      <c r="E10" s="75"/>
      <c r="F10" s="75"/>
      <c r="G10" s="75"/>
      <c r="H10" s="75"/>
      <c r="I10" s="76" t="str">
        <f t="shared" si="0"/>
        <v/>
      </c>
      <c r="J10" s="89" t="str">
        <f t="shared" si="1"/>
        <v/>
      </c>
      <c r="K10" s="71"/>
      <c r="L10" s="76" t="str">
        <f t="shared" si="2"/>
        <v/>
      </c>
      <c r="M10" s="75"/>
      <c r="N10" s="89" t="str">
        <f t="shared" si="3"/>
        <v/>
      </c>
      <c r="O10" s="22"/>
    </row>
    <row r="11" spans="1:15" ht="14" x14ac:dyDescent="0.15">
      <c r="A11" s="43" t="s">
        <v>2721</v>
      </c>
      <c r="B11" s="22"/>
      <c r="C11" s="75"/>
      <c r="D11" s="75"/>
      <c r="E11" s="75"/>
      <c r="F11" s="75"/>
      <c r="G11" s="75"/>
      <c r="H11" s="75"/>
      <c r="I11" s="76" t="str">
        <f t="shared" si="0"/>
        <v/>
      </c>
      <c r="J11" s="89" t="str">
        <f t="shared" si="1"/>
        <v/>
      </c>
      <c r="K11" s="71"/>
      <c r="L11" s="76" t="str">
        <f t="shared" si="2"/>
        <v/>
      </c>
      <c r="M11" s="75"/>
      <c r="N11" s="89" t="str">
        <f t="shared" si="3"/>
        <v/>
      </c>
      <c r="O11" s="22"/>
    </row>
    <row r="12" spans="1:15" ht="14" x14ac:dyDescent="0.15">
      <c r="A12" s="43" t="s">
        <v>2722</v>
      </c>
      <c r="B12" s="22"/>
      <c r="C12" s="75"/>
      <c r="D12" s="75"/>
      <c r="E12" s="75"/>
      <c r="F12" s="75"/>
      <c r="G12" s="75"/>
      <c r="H12" s="75"/>
      <c r="I12" s="76" t="str">
        <f t="shared" si="0"/>
        <v/>
      </c>
      <c r="J12" s="89" t="str">
        <f t="shared" si="1"/>
        <v/>
      </c>
      <c r="K12" s="71"/>
      <c r="L12" s="76" t="str">
        <f t="shared" si="2"/>
        <v/>
      </c>
      <c r="M12" s="75"/>
      <c r="N12" s="89" t="str">
        <f t="shared" si="3"/>
        <v/>
      </c>
      <c r="O12" s="22"/>
    </row>
    <row r="13" spans="1:15" ht="14" x14ac:dyDescent="0.15">
      <c r="A13" s="43" t="s">
        <v>2723</v>
      </c>
      <c r="B13" s="22"/>
      <c r="C13" s="75"/>
      <c r="D13" s="75"/>
      <c r="E13" s="75"/>
      <c r="F13" s="75"/>
      <c r="G13" s="75"/>
      <c r="H13" s="75"/>
      <c r="I13" s="76" t="str">
        <f t="shared" si="0"/>
        <v/>
      </c>
      <c r="J13" s="89" t="str">
        <f t="shared" si="1"/>
        <v/>
      </c>
      <c r="K13" s="71"/>
      <c r="L13" s="76" t="str">
        <f t="shared" si="2"/>
        <v/>
      </c>
      <c r="M13" s="75"/>
      <c r="N13" s="89" t="str">
        <f t="shared" si="3"/>
        <v/>
      </c>
      <c r="O13" s="22"/>
    </row>
    <row r="14" spans="1:15" ht="14" x14ac:dyDescent="0.15">
      <c r="A14" s="43" t="s">
        <v>2724</v>
      </c>
      <c r="B14" s="22"/>
      <c r="C14" s="75"/>
      <c r="D14" s="75"/>
      <c r="E14" s="75"/>
      <c r="F14" s="75"/>
      <c r="G14" s="75"/>
      <c r="H14" s="75"/>
      <c r="I14" s="76" t="str">
        <f t="shared" si="0"/>
        <v/>
      </c>
      <c r="J14" s="89" t="str">
        <f t="shared" si="1"/>
        <v/>
      </c>
      <c r="K14" s="71"/>
      <c r="L14" s="76" t="str">
        <f t="shared" si="2"/>
        <v/>
      </c>
      <c r="M14" s="75"/>
      <c r="N14" s="89" t="str">
        <f t="shared" si="3"/>
        <v/>
      </c>
      <c r="O14" s="22"/>
    </row>
    <row r="15" spans="1:15" ht="14" x14ac:dyDescent="0.15">
      <c r="A15" s="43" t="s">
        <v>2725</v>
      </c>
      <c r="B15" s="22"/>
      <c r="C15" s="75"/>
      <c r="D15" s="75"/>
      <c r="E15" s="75"/>
      <c r="F15" s="75"/>
      <c r="G15" s="75"/>
      <c r="H15" s="75"/>
      <c r="I15" s="76" t="str">
        <f t="shared" si="0"/>
        <v/>
      </c>
      <c r="J15" s="89" t="str">
        <f t="shared" si="1"/>
        <v/>
      </c>
      <c r="K15" s="71"/>
      <c r="L15" s="76" t="str">
        <f t="shared" si="2"/>
        <v/>
      </c>
      <c r="M15" s="75"/>
      <c r="N15" s="89" t="str">
        <f t="shared" si="3"/>
        <v/>
      </c>
      <c r="O15" s="22"/>
    </row>
    <row r="16" spans="1:15" ht="14" x14ac:dyDescent="0.15">
      <c r="A16" s="43" t="s">
        <v>2726</v>
      </c>
      <c r="B16" s="22"/>
      <c r="C16" s="75"/>
      <c r="D16" s="75"/>
      <c r="E16" s="75"/>
      <c r="F16" s="75"/>
      <c r="G16" s="75"/>
      <c r="H16" s="75"/>
      <c r="I16" s="76" t="str">
        <f t="shared" si="0"/>
        <v/>
      </c>
      <c r="J16" s="89" t="str">
        <f t="shared" si="1"/>
        <v/>
      </c>
      <c r="K16" s="71"/>
      <c r="L16" s="76" t="str">
        <f t="shared" si="2"/>
        <v/>
      </c>
      <c r="M16" s="75"/>
      <c r="N16" s="89" t="str">
        <f t="shared" si="3"/>
        <v/>
      </c>
      <c r="O16" s="22"/>
    </row>
    <row r="17" spans="1:15" ht="14" x14ac:dyDescent="0.15">
      <c r="A17" s="43" t="s">
        <v>2727</v>
      </c>
      <c r="B17" s="22"/>
      <c r="C17" s="75"/>
      <c r="D17" s="75"/>
      <c r="E17" s="75"/>
      <c r="F17" s="75"/>
      <c r="G17" s="75"/>
      <c r="H17" s="75"/>
      <c r="I17" s="76" t="str">
        <f t="shared" si="0"/>
        <v/>
      </c>
      <c r="J17" s="89" t="str">
        <f t="shared" si="1"/>
        <v/>
      </c>
      <c r="K17" s="71"/>
      <c r="L17" s="76" t="str">
        <f t="shared" si="2"/>
        <v/>
      </c>
      <c r="M17" s="75"/>
      <c r="N17" s="89" t="str">
        <f t="shared" si="3"/>
        <v/>
      </c>
      <c r="O17" s="22"/>
    </row>
    <row r="18" spans="1:15" ht="14" x14ac:dyDescent="0.15">
      <c r="A18" s="43" t="s">
        <v>2728</v>
      </c>
      <c r="B18" s="22"/>
      <c r="C18" s="75"/>
      <c r="D18" s="75"/>
      <c r="E18" s="75"/>
      <c r="F18" s="75"/>
      <c r="G18" s="75"/>
      <c r="H18" s="75"/>
      <c r="I18" s="76" t="str">
        <f t="shared" si="0"/>
        <v/>
      </c>
      <c r="J18" s="89" t="str">
        <f t="shared" si="1"/>
        <v/>
      </c>
      <c r="K18" s="71"/>
      <c r="L18" s="76" t="str">
        <f t="shared" si="2"/>
        <v/>
      </c>
      <c r="M18" s="75"/>
      <c r="N18" s="89" t="str">
        <f t="shared" si="3"/>
        <v/>
      </c>
      <c r="O18" s="22"/>
    </row>
    <row r="19" spans="1:15" ht="14" x14ac:dyDescent="0.15">
      <c r="A19" s="43" t="s">
        <v>2729</v>
      </c>
      <c r="B19" s="22"/>
      <c r="C19" s="75"/>
      <c r="D19" s="75"/>
      <c r="E19" s="75"/>
      <c r="F19" s="75"/>
      <c r="G19" s="75"/>
      <c r="H19" s="75"/>
      <c r="I19" s="76" t="str">
        <f t="shared" si="0"/>
        <v/>
      </c>
      <c r="J19" s="89" t="str">
        <f t="shared" si="1"/>
        <v/>
      </c>
      <c r="K19" s="71"/>
      <c r="L19" s="76" t="str">
        <f t="shared" si="2"/>
        <v/>
      </c>
      <c r="M19" s="75"/>
      <c r="N19" s="89" t="str">
        <f t="shared" si="3"/>
        <v/>
      </c>
      <c r="O19" s="22"/>
    </row>
    <row r="20" spans="1:15" ht="14" x14ac:dyDescent="0.15">
      <c r="A20" s="43" t="s">
        <v>2730</v>
      </c>
      <c r="B20" s="22"/>
      <c r="C20" s="75"/>
      <c r="D20" s="75"/>
      <c r="E20" s="75"/>
      <c r="F20" s="75"/>
      <c r="G20" s="75"/>
      <c r="H20" s="75"/>
      <c r="I20" s="76" t="str">
        <f t="shared" si="0"/>
        <v/>
      </c>
      <c r="J20" s="89" t="str">
        <f t="shared" si="1"/>
        <v/>
      </c>
      <c r="K20" s="71"/>
      <c r="L20" s="76" t="str">
        <f t="shared" si="2"/>
        <v/>
      </c>
      <c r="M20" s="75"/>
      <c r="N20" s="89" t="str">
        <f t="shared" si="3"/>
        <v/>
      </c>
      <c r="O20" s="22"/>
    </row>
    <row r="21" spans="1:15" ht="14" x14ac:dyDescent="0.15">
      <c r="A21" s="43" t="s">
        <v>2731</v>
      </c>
      <c r="B21" s="22"/>
      <c r="C21" s="75"/>
      <c r="D21" s="75"/>
      <c r="E21" s="75"/>
      <c r="F21" s="75"/>
      <c r="G21" s="75"/>
      <c r="H21" s="75"/>
      <c r="I21" s="76" t="str">
        <f t="shared" si="0"/>
        <v/>
      </c>
      <c r="J21" s="89" t="str">
        <f t="shared" si="1"/>
        <v/>
      </c>
      <c r="K21" s="71"/>
      <c r="L21" s="76" t="str">
        <f t="shared" si="2"/>
        <v/>
      </c>
      <c r="M21" s="75"/>
      <c r="N21" s="89" t="str">
        <f t="shared" si="3"/>
        <v/>
      </c>
      <c r="O21" s="22"/>
    </row>
    <row r="22" spans="1:15" ht="14" x14ac:dyDescent="0.15">
      <c r="A22" s="43" t="s">
        <v>2732</v>
      </c>
      <c r="B22" s="22"/>
      <c r="C22" s="75"/>
      <c r="D22" s="75"/>
      <c r="E22" s="75"/>
      <c r="F22" s="75"/>
      <c r="G22" s="75"/>
      <c r="H22" s="75"/>
      <c r="I22" s="76" t="str">
        <f t="shared" si="0"/>
        <v/>
      </c>
      <c r="J22" s="89" t="str">
        <f t="shared" si="1"/>
        <v/>
      </c>
      <c r="K22" s="71"/>
      <c r="L22" s="76" t="str">
        <f t="shared" si="2"/>
        <v/>
      </c>
      <c r="M22" s="75"/>
      <c r="N22" s="89" t="str">
        <f t="shared" si="3"/>
        <v/>
      </c>
      <c r="O22" s="22"/>
    </row>
    <row r="23" spans="1:15" ht="14" x14ac:dyDescent="0.15">
      <c r="A23" s="43" t="s">
        <v>2733</v>
      </c>
      <c r="B23" s="22"/>
      <c r="C23" s="75"/>
      <c r="D23" s="75"/>
      <c r="E23" s="75"/>
      <c r="F23" s="75"/>
      <c r="G23" s="75"/>
      <c r="H23" s="75"/>
      <c r="I23" s="76" t="str">
        <f t="shared" si="0"/>
        <v/>
      </c>
      <c r="J23" s="89" t="str">
        <f t="shared" si="1"/>
        <v/>
      </c>
      <c r="K23" s="71"/>
      <c r="L23" s="76" t="str">
        <f t="shared" si="2"/>
        <v/>
      </c>
      <c r="M23" s="75"/>
      <c r="N23" s="89" t="str">
        <f t="shared" si="3"/>
        <v/>
      </c>
      <c r="O23" s="22"/>
    </row>
    <row r="24" spans="1:15" ht="14" x14ac:dyDescent="0.15">
      <c r="A24" s="43" t="s">
        <v>2734</v>
      </c>
      <c r="B24" s="22"/>
      <c r="C24" s="75"/>
      <c r="D24" s="75"/>
      <c r="E24" s="75"/>
      <c r="F24" s="75"/>
      <c r="G24" s="75"/>
      <c r="H24" s="75"/>
      <c r="I24" s="76" t="str">
        <f t="shared" si="0"/>
        <v/>
      </c>
      <c r="J24" s="89" t="str">
        <f t="shared" si="1"/>
        <v/>
      </c>
      <c r="K24" s="71"/>
      <c r="L24" s="76" t="str">
        <f t="shared" si="2"/>
        <v/>
      </c>
      <c r="M24" s="75"/>
      <c r="N24" s="89" t="str">
        <f t="shared" si="3"/>
        <v/>
      </c>
      <c r="O24" s="22"/>
    </row>
    <row r="25" spans="1:15" ht="14" x14ac:dyDescent="0.15">
      <c r="A25" s="43" t="s">
        <v>2735</v>
      </c>
      <c r="B25" s="22"/>
      <c r="C25" s="75"/>
      <c r="D25" s="75"/>
      <c r="E25" s="75"/>
      <c r="F25" s="75"/>
      <c r="G25" s="75"/>
      <c r="H25" s="75"/>
      <c r="I25" s="76" t="str">
        <f t="shared" si="0"/>
        <v/>
      </c>
      <c r="J25" s="89" t="str">
        <f t="shared" si="1"/>
        <v/>
      </c>
      <c r="K25" s="71"/>
      <c r="L25" s="76" t="str">
        <f t="shared" si="2"/>
        <v/>
      </c>
      <c r="M25" s="75"/>
      <c r="N25" s="89" t="str">
        <f t="shared" si="3"/>
        <v/>
      </c>
      <c r="O25" s="22"/>
    </row>
    <row r="26" spans="1:15" ht="14" x14ac:dyDescent="0.15">
      <c r="A26" s="43" t="s">
        <v>2736</v>
      </c>
      <c r="B26" s="22"/>
      <c r="C26" s="75"/>
      <c r="D26" s="75"/>
      <c r="E26" s="75"/>
      <c r="F26" s="75"/>
      <c r="G26" s="75"/>
      <c r="H26" s="75"/>
      <c r="I26" s="76" t="str">
        <f t="shared" si="0"/>
        <v/>
      </c>
      <c r="J26" s="89" t="str">
        <f t="shared" si="1"/>
        <v/>
      </c>
      <c r="K26" s="71"/>
      <c r="L26" s="76" t="str">
        <f t="shared" si="2"/>
        <v/>
      </c>
      <c r="M26" s="75"/>
      <c r="N26" s="89" t="str">
        <f t="shared" si="3"/>
        <v/>
      </c>
      <c r="O26" s="22"/>
    </row>
    <row r="27" spans="1:15" ht="14" x14ac:dyDescent="0.15">
      <c r="A27" s="43" t="s">
        <v>2737</v>
      </c>
      <c r="B27" s="22"/>
      <c r="C27" s="75"/>
      <c r="D27" s="75"/>
      <c r="E27" s="75"/>
      <c r="F27" s="75"/>
      <c r="G27" s="75"/>
      <c r="H27" s="75"/>
      <c r="I27" s="76" t="str">
        <f t="shared" si="0"/>
        <v/>
      </c>
      <c r="J27" s="89" t="str">
        <f t="shared" si="1"/>
        <v/>
      </c>
      <c r="K27" s="71"/>
      <c r="L27" s="76" t="str">
        <f t="shared" si="2"/>
        <v/>
      </c>
      <c r="M27" s="75"/>
      <c r="N27" s="89" t="str">
        <f t="shared" si="3"/>
        <v/>
      </c>
      <c r="O27" s="22"/>
    </row>
    <row r="28" spans="1:15" ht="14" x14ac:dyDescent="0.15">
      <c r="A28" s="43" t="s">
        <v>2738</v>
      </c>
      <c r="B28" s="22"/>
      <c r="C28" s="75"/>
      <c r="D28" s="75"/>
      <c r="E28" s="75"/>
      <c r="F28" s="75"/>
      <c r="G28" s="75"/>
      <c r="H28" s="75"/>
      <c r="I28" s="76" t="str">
        <f t="shared" si="0"/>
        <v/>
      </c>
      <c r="J28" s="89" t="str">
        <f t="shared" si="1"/>
        <v/>
      </c>
      <c r="K28" s="71"/>
      <c r="L28" s="76" t="str">
        <f t="shared" si="2"/>
        <v/>
      </c>
      <c r="M28" s="75"/>
      <c r="N28" s="89" t="str">
        <f t="shared" si="3"/>
        <v/>
      </c>
      <c r="O28" s="22"/>
    </row>
    <row r="29" spans="1:15" ht="14" x14ac:dyDescent="0.15">
      <c r="A29" s="43" t="s">
        <v>2739</v>
      </c>
      <c r="B29" s="22"/>
      <c r="C29" s="75"/>
      <c r="D29" s="75"/>
      <c r="E29" s="75"/>
      <c r="F29" s="75"/>
      <c r="G29" s="75"/>
      <c r="H29" s="75"/>
      <c r="I29" s="76" t="str">
        <f t="shared" si="0"/>
        <v/>
      </c>
      <c r="J29" s="89" t="str">
        <f t="shared" si="1"/>
        <v/>
      </c>
      <c r="K29" s="71"/>
      <c r="L29" s="76" t="str">
        <f t="shared" si="2"/>
        <v/>
      </c>
      <c r="M29" s="75"/>
      <c r="N29" s="89" t="str">
        <f t="shared" si="3"/>
        <v/>
      </c>
      <c r="O29" s="22"/>
    </row>
    <row r="30" spans="1:15" ht="14" x14ac:dyDescent="0.15">
      <c r="A30" s="43" t="s">
        <v>2740</v>
      </c>
      <c r="B30" s="22"/>
      <c r="C30" s="75"/>
      <c r="D30" s="75"/>
      <c r="E30" s="75"/>
      <c r="F30" s="75"/>
      <c r="G30" s="75"/>
      <c r="H30" s="75"/>
      <c r="I30" s="76" t="str">
        <f t="shared" si="0"/>
        <v/>
      </c>
      <c r="J30" s="89" t="str">
        <f t="shared" si="1"/>
        <v/>
      </c>
      <c r="K30" s="71"/>
      <c r="L30" s="76" t="str">
        <f t="shared" si="2"/>
        <v/>
      </c>
      <c r="M30" s="75"/>
      <c r="N30" s="89" t="str">
        <f t="shared" si="3"/>
        <v/>
      </c>
      <c r="O30" s="22"/>
    </row>
    <row r="31" spans="1:15" ht="14" x14ac:dyDescent="0.15">
      <c r="A31" s="43" t="s">
        <v>2741</v>
      </c>
      <c r="B31" s="22"/>
      <c r="C31" s="75"/>
      <c r="D31" s="75"/>
      <c r="E31" s="75"/>
      <c r="F31" s="75"/>
      <c r="G31" s="75"/>
      <c r="H31" s="75"/>
      <c r="I31" s="76" t="str">
        <f t="shared" si="0"/>
        <v/>
      </c>
      <c r="J31" s="89" t="str">
        <f t="shared" si="1"/>
        <v/>
      </c>
      <c r="K31" s="71"/>
      <c r="L31" s="76" t="str">
        <f t="shared" si="2"/>
        <v/>
      </c>
      <c r="M31" s="75"/>
      <c r="N31" s="89" t="str">
        <f t="shared" si="3"/>
        <v/>
      </c>
      <c r="O31" s="22"/>
    </row>
    <row r="32" spans="1:15" ht="14" x14ac:dyDescent="0.15">
      <c r="A32" s="43" t="s">
        <v>2742</v>
      </c>
      <c r="B32" s="22"/>
      <c r="C32" s="75"/>
      <c r="D32" s="75"/>
      <c r="E32" s="75"/>
      <c r="F32" s="75"/>
      <c r="G32" s="75"/>
      <c r="H32" s="75"/>
      <c r="I32" s="76" t="str">
        <f t="shared" si="0"/>
        <v/>
      </c>
      <c r="J32" s="89" t="str">
        <f t="shared" si="1"/>
        <v/>
      </c>
      <c r="K32" s="71"/>
      <c r="L32" s="76" t="str">
        <f t="shared" si="2"/>
        <v/>
      </c>
      <c r="M32" s="75"/>
      <c r="N32" s="89" t="str">
        <f t="shared" si="3"/>
        <v/>
      </c>
      <c r="O32" s="22"/>
    </row>
    <row r="33" spans="1:15" ht="14" x14ac:dyDescent="0.15">
      <c r="A33" s="43" t="s">
        <v>2743</v>
      </c>
      <c r="B33" s="22"/>
      <c r="C33" s="75"/>
      <c r="D33" s="75"/>
      <c r="E33" s="75"/>
      <c r="F33" s="75"/>
      <c r="G33" s="75"/>
      <c r="H33" s="75"/>
      <c r="I33" s="76" t="str">
        <f t="shared" si="0"/>
        <v/>
      </c>
      <c r="J33" s="89" t="str">
        <f t="shared" si="1"/>
        <v/>
      </c>
      <c r="K33" s="71"/>
      <c r="L33" s="76" t="str">
        <f t="shared" si="2"/>
        <v/>
      </c>
      <c r="M33" s="75"/>
      <c r="N33" s="89" t="str">
        <f t="shared" si="3"/>
        <v/>
      </c>
      <c r="O33" s="22"/>
    </row>
    <row r="34" spans="1:15" ht="14" x14ac:dyDescent="0.15">
      <c r="A34" s="43" t="s">
        <v>2744</v>
      </c>
      <c r="B34" s="22"/>
      <c r="C34" s="75"/>
      <c r="D34" s="75"/>
      <c r="E34" s="75"/>
      <c r="F34" s="75"/>
      <c r="G34" s="75"/>
      <c r="H34" s="75"/>
      <c r="I34" s="76" t="str">
        <f t="shared" si="0"/>
        <v/>
      </c>
      <c r="J34" s="89" t="str">
        <f t="shared" si="1"/>
        <v/>
      </c>
      <c r="K34" s="71"/>
      <c r="L34" s="76" t="str">
        <f t="shared" si="2"/>
        <v/>
      </c>
      <c r="M34" s="75"/>
      <c r="N34" s="89" t="str">
        <f t="shared" si="3"/>
        <v/>
      </c>
      <c r="O34" s="22"/>
    </row>
    <row r="35" spans="1:15" ht="14" x14ac:dyDescent="0.15">
      <c r="A35" s="43" t="s">
        <v>2745</v>
      </c>
      <c r="B35" s="22"/>
      <c r="C35" s="75"/>
      <c r="D35" s="75"/>
      <c r="E35" s="75"/>
      <c r="F35" s="75"/>
      <c r="G35" s="75"/>
      <c r="H35" s="75"/>
      <c r="I35" s="76" t="str">
        <f t="shared" si="0"/>
        <v/>
      </c>
      <c r="J35" s="89" t="str">
        <f t="shared" si="1"/>
        <v/>
      </c>
      <c r="K35" s="71"/>
      <c r="L35" s="76" t="str">
        <f t="shared" si="2"/>
        <v/>
      </c>
      <c r="M35" s="75"/>
      <c r="N35" s="89" t="str">
        <f t="shared" si="3"/>
        <v/>
      </c>
      <c r="O35" s="22"/>
    </row>
    <row r="36" spans="1:15" ht="14" x14ac:dyDescent="0.15">
      <c r="A36" s="43" t="s">
        <v>2746</v>
      </c>
      <c r="B36" s="22"/>
      <c r="C36" s="75"/>
      <c r="D36" s="75"/>
      <c r="E36" s="75"/>
      <c r="F36" s="75"/>
      <c r="G36" s="75"/>
      <c r="H36" s="75"/>
      <c r="I36" s="76" t="str">
        <f t="shared" si="0"/>
        <v/>
      </c>
      <c r="J36" s="89" t="str">
        <f t="shared" si="1"/>
        <v/>
      </c>
      <c r="K36" s="71"/>
      <c r="L36" s="76" t="str">
        <f t="shared" si="2"/>
        <v/>
      </c>
      <c r="M36" s="75"/>
      <c r="N36" s="89" t="str">
        <f t="shared" si="3"/>
        <v/>
      </c>
      <c r="O36" s="22"/>
    </row>
    <row r="37" spans="1:15" ht="14" x14ac:dyDescent="0.15">
      <c r="A37" s="23"/>
      <c r="B37" s="26" t="s">
        <v>2261</v>
      </c>
      <c r="C37" s="82">
        <f t="shared" ref="C37:I37" si="4">SUMIF($A$6:$A$36,"&lt;&gt;Example",C6:C36)</f>
        <v>0</v>
      </c>
      <c r="D37" s="82">
        <f t="shared" si="4"/>
        <v>0</v>
      </c>
      <c r="E37" s="82">
        <f t="shared" si="4"/>
        <v>0</v>
      </c>
      <c r="F37" s="82">
        <f t="shared" si="4"/>
        <v>0</v>
      </c>
      <c r="G37" s="82">
        <f t="shared" si="4"/>
        <v>0</v>
      </c>
      <c r="H37" s="82">
        <f t="shared" si="4"/>
        <v>0</v>
      </c>
      <c r="I37" s="82">
        <f t="shared" si="4"/>
        <v>0</v>
      </c>
      <c r="J37" s="92" t="str">
        <f>IF(I37&gt;0,1,"")</f>
        <v/>
      </c>
      <c r="K37" s="93">
        <f>SUMIF($A$6:$A$36,"&lt;&gt;Example",K6:K36)</f>
        <v>0</v>
      </c>
      <c r="L37" s="82" t="str">
        <f>IF(K37&gt;0,I37/K37,"")</f>
        <v/>
      </c>
      <c r="M37" s="82">
        <f>SUMIF($A$6:$A$36,"&lt;&gt;Example",M6:M36)</f>
        <v>0</v>
      </c>
      <c r="N37" s="92" t="str">
        <f>IF(I37&gt;0,M37/I37,"")</f>
        <v/>
      </c>
      <c r="O37" s="23"/>
    </row>
    <row r="38" spans="1:15" ht="14" x14ac:dyDescent="0.15">
      <c r="A38" s="23"/>
      <c r="B38" s="26" t="s">
        <v>2747</v>
      </c>
      <c r="C38" s="94" t="str">
        <f t="shared" ref="C38:I38" si="5">IF($I$37&gt;0,C37/$I$37,"")</f>
        <v/>
      </c>
      <c r="D38" s="94" t="str">
        <f t="shared" si="5"/>
        <v/>
      </c>
      <c r="E38" s="94" t="str">
        <f t="shared" si="5"/>
        <v/>
      </c>
      <c r="F38" s="94" t="str">
        <f t="shared" si="5"/>
        <v/>
      </c>
      <c r="G38" s="94" t="str">
        <f t="shared" si="5"/>
        <v/>
      </c>
      <c r="H38" s="94" t="str">
        <f t="shared" si="5"/>
        <v/>
      </c>
      <c r="I38" s="94" t="str">
        <f t="shared" si="5"/>
        <v/>
      </c>
      <c r="J38" s="23"/>
      <c r="K38" s="23"/>
      <c r="L38" s="23"/>
      <c r="M38" s="23"/>
      <c r="N38" s="23"/>
      <c r="O38" s="23"/>
    </row>
  </sheetData>
  <autoFilter ref="A5:O36" xr:uid="{00000000-0009-0000-0000-00000F000000}"/>
  <pageMargins left="0.4" right="0.4" top="0.5" bottom="0.5" header="0.511811023622047" footer="0.5"/>
  <pageSetup paperSize="9" fitToHeight="0" orientation="landscape" horizontalDpi="300" verticalDpi="300"/>
  <headerFooter>
    <oddFooter>&amp;L&amp;8 CTO Consulting | Operating Model Assessment Toolkit&amp;R&amp;8 &amp;A | 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C55A11"/>
    <pageSetUpPr fitToPage="1"/>
  </sheetPr>
  <dimension ref="A1:N156"/>
  <sheetViews>
    <sheetView showGridLines="0"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baseColWidth="10" defaultColWidth="8.6640625" defaultRowHeight="13" x14ac:dyDescent="0.15"/>
  <cols>
    <col min="1" max="1" width="9" customWidth="1"/>
    <col min="2" max="2" width="11" customWidth="1"/>
    <col min="3" max="3" width="34" customWidth="1"/>
    <col min="4" max="4" width="18" customWidth="1"/>
    <col min="5" max="5" width="44" customWidth="1"/>
    <col min="6" max="6" width="28" customWidth="1"/>
    <col min="7" max="8" width="30" customWidth="1"/>
    <col min="9" max="9" width="10" customWidth="1"/>
    <col min="10" max="10" width="14" customWidth="1"/>
    <col min="11" max="11" width="12" customWidth="1"/>
    <col min="12" max="12" width="16" customWidth="1"/>
    <col min="13" max="13" width="14" customWidth="1"/>
    <col min="14" max="14" width="11" customWidth="1"/>
  </cols>
  <sheetData>
    <row r="1" spans="1:14" ht="27.75" customHeight="1" x14ac:dyDescent="0.15">
      <c r="A1" s="33" t="s">
        <v>2748</v>
      </c>
    </row>
    <row r="2" spans="1:14" x14ac:dyDescent="0.15">
      <c r="A2" s="34" t="s">
        <v>2749</v>
      </c>
    </row>
    <row r="3" spans="1:14" x14ac:dyDescent="0.15">
      <c r="A3" s="38" t="s">
        <v>423</v>
      </c>
    </row>
    <row r="5" spans="1:14" ht="39.75" customHeight="1" x14ac:dyDescent="0.15">
      <c r="A5" s="20" t="s">
        <v>424</v>
      </c>
      <c r="B5" s="20" t="s">
        <v>2750</v>
      </c>
      <c r="C5" s="20" t="s">
        <v>157</v>
      </c>
      <c r="D5" s="20" t="s">
        <v>921</v>
      </c>
      <c r="E5" s="20" t="s">
        <v>2751</v>
      </c>
      <c r="F5" s="20" t="s">
        <v>2752</v>
      </c>
      <c r="G5" s="20" t="s">
        <v>2753</v>
      </c>
      <c r="H5" s="20" t="s">
        <v>2754</v>
      </c>
      <c r="I5" s="20" t="s">
        <v>2755</v>
      </c>
      <c r="J5" s="20" t="s">
        <v>2756</v>
      </c>
      <c r="K5" s="20" t="s">
        <v>2757</v>
      </c>
      <c r="L5" s="20" t="s">
        <v>2758</v>
      </c>
      <c r="M5" s="20" t="s">
        <v>2759</v>
      </c>
      <c r="N5" s="20" t="s">
        <v>149</v>
      </c>
    </row>
    <row r="6" spans="1:14" ht="56" x14ac:dyDescent="0.15">
      <c r="A6" s="39" t="s">
        <v>436</v>
      </c>
      <c r="B6" s="42">
        <v>46315</v>
      </c>
      <c r="C6" s="25" t="s">
        <v>221</v>
      </c>
      <c r="D6" s="25" t="s">
        <v>1272</v>
      </c>
      <c r="E6" s="25" t="s">
        <v>2760</v>
      </c>
      <c r="F6" s="25" t="s">
        <v>2761</v>
      </c>
      <c r="G6" s="25" t="s">
        <v>2762</v>
      </c>
      <c r="H6" s="25" t="s">
        <v>2763</v>
      </c>
      <c r="I6" s="40" t="s">
        <v>441</v>
      </c>
      <c r="J6" s="40" t="s">
        <v>2764</v>
      </c>
      <c r="K6" s="40" t="s">
        <v>2534</v>
      </c>
      <c r="L6" s="25" t="s">
        <v>1780</v>
      </c>
      <c r="M6" s="25" t="s">
        <v>2765</v>
      </c>
      <c r="N6" s="40" t="s">
        <v>2766</v>
      </c>
    </row>
    <row r="7" spans="1:14" ht="14" x14ac:dyDescent="0.15">
      <c r="A7" s="43" t="s">
        <v>2767</v>
      </c>
      <c r="B7" s="45"/>
      <c r="C7" s="22"/>
      <c r="D7" s="22"/>
      <c r="E7" s="22"/>
      <c r="F7" s="22"/>
      <c r="G7" s="22"/>
      <c r="H7" s="22"/>
      <c r="I7" s="44"/>
      <c r="J7" s="44"/>
      <c r="K7" s="44"/>
      <c r="L7" s="22"/>
      <c r="M7" s="22"/>
      <c r="N7" s="44"/>
    </row>
    <row r="8" spans="1:14" ht="14" x14ac:dyDescent="0.15">
      <c r="A8" s="43" t="s">
        <v>2768</v>
      </c>
      <c r="B8" s="45"/>
      <c r="C8" s="22"/>
      <c r="D8" s="22"/>
      <c r="E8" s="22"/>
      <c r="F8" s="22"/>
      <c r="G8" s="22"/>
      <c r="H8" s="22"/>
      <c r="I8" s="44"/>
      <c r="J8" s="44"/>
      <c r="K8" s="44"/>
      <c r="L8" s="22"/>
      <c r="M8" s="22"/>
      <c r="N8" s="44"/>
    </row>
    <row r="9" spans="1:14" ht="14" x14ac:dyDescent="0.15">
      <c r="A9" s="43" t="s">
        <v>2769</v>
      </c>
      <c r="B9" s="45"/>
      <c r="C9" s="22"/>
      <c r="D9" s="22"/>
      <c r="E9" s="22"/>
      <c r="F9" s="22"/>
      <c r="G9" s="22"/>
      <c r="H9" s="22"/>
      <c r="I9" s="44"/>
      <c r="J9" s="44"/>
      <c r="K9" s="44"/>
      <c r="L9" s="22"/>
      <c r="M9" s="22"/>
      <c r="N9" s="44"/>
    </row>
    <row r="10" spans="1:14" ht="14" x14ac:dyDescent="0.15">
      <c r="A10" s="43" t="s">
        <v>2770</v>
      </c>
      <c r="B10" s="45"/>
      <c r="C10" s="22"/>
      <c r="D10" s="22"/>
      <c r="E10" s="22"/>
      <c r="F10" s="22"/>
      <c r="G10" s="22"/>
      <c r="H10" s="22"/>
      <c r="I10" s="44"/>
      <c r="J10" s="44"/>
      <c r="K10" s="44"/>
      <c r="L10" s="22"/>
      <c r="M10" s="22"/>
      <c r="N10" s="44"/>
    </row>
    <row r="11" spans="1:14" ht="14" x14ac:dyDescent="0.15">
      <c r="A11" s="43" t="s">
        <v>2771</v>
      </c>
      <c r="B11" s="45"/>
      <c r="C11" s="22"/>
      <c r="D11" s="22"/>
      <c r="E11" s="22"/>
      <c r="F11" s="22"/>
      <c r="G11" s="22"/>
      <c r="H11" s="22"/>
      <c r="I11" s="44"/>
      <c r="J11" s="44"/>
      <c r="K11" s="44"/>
      <c r="L11" s="22"/>
      <c r="M11" s="22"/>
      <c r="N11" s="44"/>
    </row>
    <row r="12" spans="1:14" ht="14" x14ac:dyDescent="0.15">
      <c r="A12" s="43" t="s">
        <v>2772</v>
      </c>
      <c r="B12" s="45"/>
      <c r="C12" s="22"/>
      <c r="D12" s="22"/>
      <c r="E12" s="22"/>
      <c r="F12" s="22"/>
      <c r="G12" s="22"/>
      <c r="H12" s="22"/>
      <c r="I12" s="44"/>
      <c r="J12" s="44"/>
      <c r="K12" s="44"/>
      <c r="L12" s="22"/>
      <c r="M12" s="22"/>
      <c r="N12" s="44"/>
    </row>
    <row r="13" spans="1:14" ht="14" x14ac:dyDescent="0.15">
      <c r="A13" s="43" t="s">
        <v>2773</v>
      </c>
      <c r="B13" s="45"/>
      <c r="C13" s="22"/>
      <c r="D13" s="22"/>
      <c r="E13" s="22"/>
      <c r="F13" s="22"/>
      <c r="G13" s="22"/>
      <c r="H13" s="22"/>
      <c r="I13" s="44"/>
      <c r="J13" s="44"/>
      <c r="K13" s="44"/>
      <c r="L13" s="22"/>
      <c r="M13" s="22"/>
      <c r="N13" s="44"/>
    </row>
    <row r="14" spans="1:14" ht="14" x14ac:dyDescent="0.15">
      <c r="A14" s="43" t="s">
        <v>2774</v>
      </c>
      <c r="B14" s="45"/>
      <c r="C14" s="22"/>
      <c r="D14" s="22"/>
      <c r="E14" s="22"/>
      <c r="F14" s="22"/>
      <c r="G14" s="22"/>
      <c r="H14" s="22"/>
      <c r="I14" s="44"/>
      <c r="J14" s="44"/>
      <c r="K14" s="44"/>
      <c r="L14" s="22"/>
      <c r="M14" s="22"/>
      <c r="N14" s="44"/>
    </row>
    <row r="15" spans="1:14" ht="14" x14ac:dyDescent="0.15">
      <c r="A15" s="43" t="s">
        <v>2775</v>
      </c>
      <c r="B15" s="45"/>
      <c r="C15" s="22"/>
      <c r="D15" s="22"/>
      <c r="E15" s="22"/>
      <c r="F15" s="22"/>
      <c r="G15" s="22"/>
      <c r="H15" s="22"/>
      <c r="I15" s="44"/>
      <c r="J15" s="44"/>
      <c r="K15" s="44"/>
      <c r="L15" s="22"/>
      <c r="M15" s="22"/>
      <c r="N15" s="44"/>
    </row>
    <row r="16" spans="1:14" ht="14" x14ac:dyDescent="0.15">
      <c r="A16" s="43" t="s">
        <v>2776</v>
      </c>
      <c r="B16" s="45"/>
      <c r="C16" s="22"/>
      <c r="D16" s="22"/>
      <c r="E16" s="22"/>
      <c r="F16" s="22"/>
      <c r="G16" s="22"/>
      <c r="H16" s="22"/>
      <c r="I16" s="44"/>
      <c r="J16" s="44"/>
      <c r="K16" s="44"/>
      <c r="L16" s="22"/>
      <c r="M16" s="22"/>
      <c r="N16" s="44"/>
    </row>
    <row r="17" spans="1:14" ht="14" x14ac:dyDescent="0.15">
      <c r="A17" s="43" t="s">
        <v>2777</v>
      </c>
      <c r="B17" s="45"/>
      <c r="C17" s="22"/>
      <c r="D17" s="22"/>
      <c r="E17" s="22"/>
      <c r="F17" s="22"/>
      <c r="G17" s="22"/>
      <c r="H17" s="22"/>
      <c r="I17" s="44"/>
      <c r="J17" s="44"/>
      <c r="K17" s="44"/>
      <c r="L17" s="22"/>
      <c r="M17" s="22"/>
      <c r="N17" s="44"/>
    </row>
    <row r="18" spans="1:14" ht="14" x14ac:dyDescent="0.15">
      <c r="A18" s="43" t="s">
        <v>2778</v>
      </c>
      <c r="B18" s="45"/>
      <c r="C18" s="22"/>
      <c r="D18" s="22"/>
      <c r="E18" s="22"/>
      <c r="F18" s="22"/>
      <c r="G18" s="22"/>
      <c r="H18" s="22"/>
      <c r="I18" s="44"/>
      <c r="J18" s="44"/>
      <c r="K18" s="44"/>
      <c r="L18" s="22"/>
      <c r="M18" s="22"/>
      <c r="N18" s="44"/>
    </row>
    <row r="19" spans="1:14" ht="14" x14ac:dyDescent="0.15">
      <c r="A19" s="43" t="s">
        <v>2779</v>
      </c>
      <c r="B19" s="45"/>
      <c r="C19" s="22"/>
      <c r="D19" s="22"/>
      <c r="E19" s="22"/>
      <c r="F19" s="22"/>
      <c r="G19" s="22"/>
      <c r="H19" s="22"/>
      <c r="I19" s="44"/>
      <c r="J19" s="44"/>
      <c r="K19" s="44"/>
      <c r="L19" s="22"/>
      <c r="M19" s="22"/>
      <c r="N19" s="44"/>
    </row>
    <row r="20" spans="1:14" ht="14" x14ac:dyDescent="0.15">
      <c r="A20" s="43" t="s">
        <v>2780</v>
      </c>
      <c r="B20" s="45"/>
      <c r="C20" s="22"/>
      <c r="D20" s="22"/>
      <c r="E20" s="22"/>
      <c r="F20" s="22"/>
      <c r="G20" s="22"/>
      <c r="H20" s="22"/>
      <c r="I20" s="44"/>
      <c r="J20" s="44"/>
      <c r="K20" s="44"/>
      <c r="L20" s="22"/>
      <c r="M20" s="22"/>
      <c r="N20" s="44"/>
    </row>
    <row r="21" spans="1:14" ht="14" x14ac:dyDescent="0.15">
      <c r="A21" s="43" t="s">
        <v>2781</v>
      </c>
      <c r="B21" s="45"/>
      <c r="C21" s="22"/>
      <c r="D21" s="22"/>
      <c r="E21" s="22"/>
      <c r="F21" s="22"/>
      <c r="G21" s="22"/>
      <c r="H21" s="22"/>
      <c r="I21" s="44"/>
      <c r="J21" s="44"/>
      <c r="K21" s="44"/>
      <c r="L21" s="22"/>
      <c r="M21" s="22"/>
      <c r="N21" s="44"/>
    </row>
    <row r="22" spans="1:14" ht="14" x14ac:dyDescent="0.15">
      <c r="A22" s="43" t="s">
        <v>2782</v>
      </c>
      <c r="B22" s="45"/>
      <c r="C22" s="22"/>
      <c r="D22" s="22"/>
      <c r="E22" s="22"/>
      <c r="F22" s="22"/>
      <c r="G22" s="22"/>
      <c r="H22" s="22"/>
      <c r="I22" s="44"/>
      <c r="J22" s="44"/>
      <c r="K22" s="44"/>
      <c r="L22" s="22"/>
      <c r="M22" s="22"/>
      <c r="N22" s="44"/>
    </row>
    <row r="23" spans="1:14" ht="14" x14ac:dyDescent="0.15">
      <c r="A23" s="43" t="s">
        <v>2783</v>
      </c>
      <c r="B23" s="45"/>
      <c r="C23" s="22"/>
      <c r="D23" s="22"/>
      <c r="E23" s="22"/>
      <c r="F23" s="22"/>
      <c r="G23" s="22"/>
      <c r="H23" s="22"/>
      <c r="I23" s="44"/>
      <c r="J23" s="44"/>
      <c r="K23" s="44"/>
      <c r="L23" s="22"/>
      <c r="M23" s="22"/>
      <c r="N23" s="44"/>
    </row>
    <row r="24" spans="1:14" ht="14" x14ac:dyDescent="0.15">
      <c r="A24" s="43" t="s">
        <v>2784</v>
      </c>
      <c r="B24" s="45"/>
      <c r="C24" s="22"/>
      <c r="D24" s="22"/>
      <c r="E24" s="22"/>
      <c r="F24" s="22"/>
      <c r="G24" s="22"/>
      <c r="H24" s="22"/>
      <c r="I24" s="44"/>
      <c r="J24" s="44"/>
      <c r="K24" s="44"/>
      <c r="L24" s="22"/>
      <c r="M24" s="22"/>
      <c r="N24" s="44"/>
    </row>
    <row r="25" spans="1:14" ht="14" x14ac:dyDescent="0.15">
      <c r="A25" s="43" t="s">
        <v>2785</v>
      </c>
      <c r="B25" s="45"/>
      <c r="C25" s="22"/>
      <c r="D25" s="22"/>
      <c r="E25" s="22"/>
      <c r="F25" s="22"/>
      <c r="G25" s="22"/>
      <c r="H25" s="22"/>
      <c r="I25" s="44"/>
      <c r="J25" s="44"/>
      <c r="K25" s="44"/>
      <c r="L25" s="22"/>
      <c r="M25" s="22"/>
      <c r="N25" s="44"/>
    </row>
    <row r="26" spans="1:14" ht="14" x14ac:dyDescent="0.15">
      <c r="A26" s="43" t="s">
        <v>2786</v>
      </c>
      <c r="B26" s="45"/>
      <c r="C26" s="22"/>
      <c r="D26" s="22"/>
      <c r="E26" s="22"/>
      <c r="F26" s="22"/>
      <c r="G26" s="22"/>
      <c r="H26" s="22"/>
      <c r="I26" s="44"/>
      <c r="J26" s="44"/>
      <c r="K26" s="44"/>
      <c r="L26" s="22"/>
      <c r="M26" s="22"/>
      <c r="N26" s="44"/>
    </row>
    <row r="27" spans="1:14" ht="14" x14ac:dyDescent="0.15">
      <c r="A27" s="43" t="s">
        <v>2787</v>
      </c>
      <c r="B27" s="45"/>
      <c r="C27" s="22"/>
      <c r="D27" s="22"/>
      <c r="E27" s="22"/>
      <c r="F27" s="22"/>
      <c r="G27" s="22"/>
      <c r="H27" s="22"/>
      <c r="I27" s="44"/>
      <c r="J27" s="44"/>
      <c r="K27" s="44"/>
      <c r="L27" s="22"/>
      <c r="M27" s="22"/>
      <c r="N27" s="44"/>
    </row>
    <row r="28" spans="1:14" ht="14" x14ac:dyDescent="0.15">
      <c r="A28" s="43" t="s">
        <v>2788</v>
      </c>
      <c r="B28" s="45"/>
      <c r="C28" s="22"/>
      <c r="D28" s="22"/>
      <c r="E28" s="22"/>
      <c r="F28" s="22"/>
      <c r="G28" s="22"/>
      <c r="H28" s="22"/>
      <c r="I28" s="44"/>
      <c r="J28" s="44"/>
      <c r="K28" s="44"/>
      <c r="L28" s="22"/>
      <c r="M28" s="22"/>
      <c r="N28" s="44"/>
    </row>
    <row r="29" spans="1:14" ht="14" x14ac:dyDescent="0.15">
      <c r="A29" s="43" t="s">
        <v>2789</v>
      </c>
      <c r="B29" s="45"/>
      <c r="C29" s="22"/>
      <c r="D29" s="22"/>
      <c r="E29" s="22"/>
      <c r="F29" s="22"/>
      <c r="G29" s="22"/>
      <c r="H29" s="22"/>
      <c r="I29" s="44"/>
      <c r="J29" s="44"/>
      <c r="K29" s="44"/>
      <c r="L29" s="22"/>
      <c r="M29" s="22"/>
      <c r="N29" s="44"/>
    </row>
    <row r="30" spans="1:14" ht="14" x14ac:dyDescent="0.15">
      <c r="A30" s="43" t="s">
        <v>2790</v>
      </c>
      <c r="B30" s="45"/>
      <c r="C30" s="22"/>
      <c r="D30" s="22"/>
      <c r="E30" s="22"/>
      <c r="F30" s="22"/>
      <c r="G30" s="22"/>
      <c r="H30" s="22"/>
      <c r="I30" s="44"/>
      <c r="J30" s="44"/>
      <c r="K30" s="44"/>
      <c r="L30" s="22"/>
      <c r="M30" s="22"/>
      <c r="N30" s="44"/>
    </row>
    <row r="31" spans="1:14" ht="14" x14ac:dyDescent="0.15">
      <c r="A31" s="43" t="s">
        <v>2791</v>
      </c>
      <c r="B31" s="45"/>
      <c r="C31" s="22"/>
      <c r="D31" s="22"/>
      <c r="E31" s="22"/>
      <c r="F31" s="22"/>
      <c r="G31" s="22"/>
      <c r="H31" s="22"/>
      <c r="I31" s="44"/>
      <c r="J31" s="44"/>
      <c r="K31" s="44"/>
      <c r="L31" s="22"/>
      <c r="M31" s="22"/>
      <c r="N31" s="44"/>
    </row>
    <row r="32" spans="1:14" ht="14" x14ac:dyDescent="0.15">
      <c r="A32" s="43" t="s">
        <v>2792</v>
      </c>
      <c r="B32" s="45"/>
      <c r="C32" s="22"/>
      <c r="D32" s="22"/>
      <c r="E32" s="22"/>
      <c r="F32" s="22"/>
      <c r="G32" s="22"/>
      <c r="H32" s="22"/>
      <c r="I32" s="44"/>
      <c r="J32" s="44"/>
      <c r="K32" s="44"/>
      <c r="L32" s="22"/>
      <c r="M32" s="22"/>
      <c r="N32" s="44"/>
    </row>
    <row r="33" spans="1:14" ht="14" x14ac:dyDescent="0.15">
      <c r="A33" s="43" t="s">
        <v>2793</v>
      </c>
      <c r="B33" s="45"/>
      <c r="C33" s="22"/>
      <c r="D33" s="22"/>
      <c r="E33" s="22"/>
      <c r="F33" s="22"/>
      <c r="G33" s="22"/>
      <c r="H33" s="22"/>
      <c r="I33" s="44"/>
      <c r="J33" s="44"/>
      <c r="K33" s="44"/>
      <c r="L33" s="22"/>
      <c r="M33" s="22"/>
      <c r="N33" s="44"/>
    </row>
    <row r="34" spans="1:14" ht="14" x14ac:dyDescent="0.15">
      <c r="A34" s="43" t="s">
        <v>2794</v>
      </c>
      <c r="B34" s="45"/>
      <c r="C34" s="22"/>
      <c r="D34" s="22"/>
      <c r="E34" s="22"/>
      <c r="F34" s="22"/>
      <c r="G34" s="22"/>
      <c r="H34" s="22"/>
      <c r="I34" s="44"/>
      <c r="J34" s="44"/>
      <c r="K34" s="44"/>
      <c r="L34" s="22"/>
      <c r="M34" s="22"/>
      <c r="N34" s="44"/>
    </row>
    <row r="35" spans="1:14" ht="14" x14ac:dyDescent="0.15">
      <c r="A35" s="43" t="s">
        <v>2795</v>
      </c>
      <c r="B35" s="45"/>
      <c r="C35" s="22"/>
      <c r="D35" s="22"/>
      <c r="E35" s="22"/>
      <c r="F35" s="22"/>
      <c r="G35" s="22"/>
      <c r="H35" s="22"/>
      <c r="I35" s="44"/>
      <c r="J35" s="44"/>
      <c r="K35" s="44"/>
      <c r="L35" s="22"/>
      <c r="M35" s="22"/>
      <c r="N35" s="44"/>
    </row>
    <row r="36" spans="1:14" ht="14" x14ac:dyDescent="0.15">
      <c r="A36" s="43" t="s">
        <v>2796</v>
      </c>
      <c r="B36" s="45"/>
      <c r="C36" s="22"/>
      <c r="D36" s="22"/>
      <c r="E36" s="22"/>
      <c r="F36" s="22"/>
      <c r="G36" s="22"/>
      <c r="H36" s="22"/>
      <c r="I36" s="44"/>
      <c r="J36" s="44"/>
      <c r="K36" s="44"/>
      <c r="L36" s="22"/>
      <c r="M36" s="22"/>
      <c r="N36" s="44"/>
    </row>
    <row r="37" spans="1:14" ht="14" x14ac:dyDescent="0.15">
      <c r="A37" s="43" t="s">
        <v>2797</v>
      </c>
      <c r="B37" s="45"/>
      <c r="C37" s="22"/>
      <c r="D37" s="22"/>
      <c r="E37" s="22"/>
      <c r="F37" s="22"/>
      <c r="G37" s="22"/>
      <c r="H37" s="22"/>
      <c r="I37" s="44"/>
      <c r="J37" s="44"/>
      <c r="K37" s="44"/>
      <c r="L37" s="22"/>
      <c r="M37" s="22"/>
      <c r="N37" s="44"/>
    </row>
    <row r="38" spans="1:14" ht="14" x14ac:dyDescent="0.15">
      <c r="A38" s="43" t="s">
        <v>2798</v>
      </c>
      <c r="B38" s="45"/>
      <c r="C38" s="22"/>
      <c r="D38" s="22"/>
      <c r="E38" s="22"/>
      <c r="F38" s="22"/>
      <c r="G38" s="22"/>
      <c r="H38" s="22"/>
      <c r="I38" s="44"/>
      <c r="J38" s="44"/>
      <c r="K38" s="44"/>
      <c r="L38" s="22"/>
      <c r="M38" s="22"/>
      <c r="N38" s="44"/>
    </row>
    <row r="39" spans="1:14" ht="14" x14ac:dyDescent="0.15">
      <c r="A39" s="43" t="s">
        <v>2799</v>
      </c>
      <c r="B39" s="45"/>
      <c r="C39" s="22"/>
      <c r="D39" s="22"/>
      <c r="E39" s="22"/>
      <c r="F39" s="22"/>
      <c r="G39" s="22"/>
      <c r="H39" s="22"/>
      <c r="I39" s="44"/>
      <c r="J39" s="44"/>
      <c r="K39" s="44"/>
      <c r="L39" s="22"/>
      <c r="M39" s="22"/>
      <c r="N39" s="44"/>
    </row>
    <row r="40" spans="1:14" ht="14" x14ac:dyDescent="0.15">
      <c r="A40" s="43" t="s">
        <v>2800</v>
      </c>
      <c r="B40" s="45"/>
      <c r="C40" s="22"/>
      <c r="D40" s="22"/>
      <c r="E40" s="22"/>
      <c r="F40" s="22"/>
      <c r="G40" s="22"/>
      <c r="H40" s="22"/>
      <c r="I40" s="44"/>
      <c r="J40" s="44"/>
      <c r="K40" s="44"/>
      <c r="L40" s="22"/>
      <c r="M40" s="22"/>
      <c r="N40" s="44"/>
    </row>
    <row r="41" spans="1:14" ht="14" x14ac:dyDescent="0.15">
      <c r="A41" s="43" t="s">
        <v>2801</v>
      </c>
      <c r="B41" s="45"/>
      <c r="C41" s="22"/>
      <c r="D41" s="22"/>
      <c r="E41" s="22"/>
      <c r="F41" s="22"/>
      <c r="G41" s="22"/>
      <c r="H41" s="22"/>
      <c r="I41" s="44"/>
      <c r="J41" s="44"/>
      <c r="K41" s="44"/>
      <c r="L41" s="22"/>
      <c r="M41" s="22"/>
      <c r="N41" s="44"/>
    </row>
    <row r="42" spans="1:14" ht="14" x14ac:dyDescent="0.15">
      <c r="A42" s="43" t="s">
        <v>2802</v>
      </c>
      <c r="B42" s="45"/>
      <c r="C42" s="22"/>
      <c r="D42" s="22"/>
      <c r="E42" s="22"/>
      <c r="F42" s="22"/>
      <c r="G42" s="22"/>
      <c r="H42" s="22"/>
      <c r="I42" s="44"/>
      <c r="J42" s="44"/>
      <c r="K42" s="44"/>
      <c r="L42" s="22"/>
      <c r="M42" s="22"/>
      <c r="N42" s="44"/>
    </row>
    <row r="43" spans="1:14" ht="14" x14ac:dyDescent="0.15">
      <c r="A43" s="43" t="s">
        <v>2803</v>
      </c>
      <c r="B43" s="45"/>
      <c r="C43" s="22"/>
      <c r="D43" s="22"/>
      <c r="E43" s="22"/>
      <c r="F43" s="22"/>
      <c r="G43" s="22"/>
      <c r="H43" s="22"/>
      <c r="I43" s="44"/>
      <c r="J43" s="44"/>
      <c r="K43" s="44"/>
      <c r="L43" s="22"/>
      <c r="M43" s="22"/>
      <c r="N43" s="44"/>
    </row>
    <row r="44" spans="1:14" ht="14" x14ac:dyDescent="0.15">
      <c r="A44" s="43" t="s">
        <v>2804</v>
      </c>
      <c r="B44" s="45"/>
      <c r="C44" s="22"/>
      <c r="D44" s="22"/>
      <c r="E44" s="22"/>
      <c r="F44" s="22"/>
      <c r="G44" s="22"/>
      <c r="H44" s="22"/>
      <c r="I44" s="44"/>
      <c r="J44" s="44"/>
      <c r="K44" s="44"/>
      <c r="L44" s="22"/>
      <c r="M44" s="22"/>
      <c r="N44" s="44"/>
    </row>
    <row r="45" spans="1:14" ht="14" x14ac:dyDescent="0.15">
      <c r="A45" s="43" t="s">
        <v>2805</v>
      </c>
      <c r="B45" s="45"/>
      <c r="C45" s="22"/>
      <c r="D45" s="22"/>
      <c r="E45" s="22"/>
      <c r="F45" s="22"/>
      <c r="G45" s="22"/>
      <c r="H45" s="22"/>
      <c r="I45" s="44"/>
      <c r="J45" s="44"/>
      <c r="K45" s="44"/>
      <c r="L45" s="22"/>
      <c r="M45" s="22"/>
      <c r="N45" s="44"/>
    </row>
    <row r="46" spans="1:14" ht="14" x14ac:dyDescent="0.15">
      <c r="A46" s="43" t="s">
        <v>2806</v>
      </c>
      <c r="B46" s="45"/>
      <c r="C46" s="22"/>
      <c r="D46" s="22"/>
      <c r="E46" s="22"/>
      <c r="F46" s="22"/>
      <c r="G46" s="22"/>
      <c r="H46" s="22"/>
      <c r="I46" s="44"/>
      <c r="J46" s="44"/>
      <c r="K46" s="44"/>
      <c r="L46" s="22"/>
      <c r="M46" s="22"/>
      <c r="N46" s="44"/>
    </row>
    <row r="47" spans="1:14" ht="14" x14ac:dyDescent="0.15">
      <c r="A47" s="43" t="s">
        <v>2807</v>
      </c>
      <c r="B47" s="45"/>
      <c r="C47" s="22"/>
      <c r="D47" s="22"/>
      <c r="E47" s="22"/>
      <c r="F47" s="22"/>
      <c r="G47" s="22"/>
      <c r="H47" s="22"/>
      <c r="I47" s="44"/>
      <c r="J47" s="44"/>
      <c r="K47" s="44"/>
      <c r="L47" s="22"/>
      <c r="M47" s="22"/>
      <c r="N47" s="44"/>
    </row>
    <row r="48" spans="1:14" ht="14" x14ac:dyDescent="0.15">
      <c r="A48" s="43" t="s">
        <v>2808</v>
      </c>
      <c r="B48" s="45"/>
      <c r="C48" s="22"/>
      <c r="D48" s="22"/>
      <c r="E48" s="22"/>
      <c r="F48" s="22"/>
      <c r="G48" s="22"/>
      <c r="H48" s="22"/>
      <c r="I48" s="44"/>
      <c r="J48" s="44"/>
      <c r="K48" s="44"/>
      <c r="L48" s="22"/>
      <c r="M48" s="22"/>
      <c r="N48" s="44"/>
    </row>
    <row r="49" spans="1:14" ht="14" x14ac:dyDescent="0.15">
      <c r="A49" s="43" t="s">
        <v>2809</v>
      </c>
      <c r="B49" s="45"/>
      <c r="C49" s="22"/>
      <c r="D49" s="22"/>
      <c r="E49" s="22"/>
      <c r="F49" s="22"/>
      <c r="G49" s="22"/>
      <c r="H49" s="22"/>
      <c r="I49" s="44"/>
      <c r="J49" s="44"/>
      <c r="K49" s="44"/>
      <c r="L49" s="22"/>
      <c r="M49" s="22"/>
      <c r="N49" s="44"/>
    </row>
    <row r="50" spans="1:14" ht="14" x14ac:dyDescent="0.15">
      <c r="A50" s="43" t="s">
        <v>2810</v>
      </c>
      <c r="B50" s="45"/>
      <c r="C50" s="22"/>
      <c r="D50" s="22"/>
      <c r="E50" s="22"/>
      <c r="F50" s="22"/>
      <c r="G50" s="22"/>
      <c r="H50" s="22"/>
      <c r="I50" s="44"/>
      <c r="J50" s="44"/>
      <c r="K50" s="44"/>
      <c r="L50" s="22"/>
      <c r="M50" s="22"/>
      <c r="N50" s="44"/>
    </row>
    <row r="51" spans="1:14" ht="14" x14ac:dyDescent="0.15">
      <c r="A51" s="43" t="s">
        <v>2811</v>
      </c>
      <c r="B51" s="45"/>
      <c r="C51" s="22"/>
      <c r="D51" s="22"/>
      <c r="E51" s="22"/>
      <c r="F51" s="22"/>
      <c r="G51" s="22"/>
      <c r="H51" s="22"/>
      <c r="I51" s="44"/>
      <c r="J51" s="44"/>
      <c r="K51" s="44"/>
      <c r="L51" s="22"/>
      <c r="M51" s="22"/>
      <c r="N51" s="44"/>
    </row>
    <row r="52" spans="1:14" ht="14" x14ac:dyDescent="0.15">
      <c r="A52" s="43" t="s">
        <v>2812</v>
      </c>
      <c r="B52" s="45"/>
      <c r="C52" s="22"/>
      <c r="D52" s="22"/>
      <c r="E52" s="22"/>
      <c r="F52" s="22"/>
      <c r="G52" s="22"/>
      <c r="H52" s="22"/>
      <c r="I52" s="44"/>
      <c r="J52" s="44"/>
      <c r="K52" s="44"/>
      <c r="L52" s="22"/>
      <c r="M52" s="22"/>
      <c r="N52" s="44"/>
    </row>
    <row r="53" spans="1:14" ht="14" x14ac:dyDescent="0.15">
      <c r="A53" s="43" t="s">
        <v>2813</v>
      </c>
      <c r="B53" s="45"/>
      <c r="C53" s="22"/>
      <c r="D53" s="22"/>
      <c r="E53" s="22"/>
      <c r="F53" s="22"/>
      <c r="G53" s="22"/>
      <c r="H53" s="22"/>
      <c r="I53" s="44"/>
      <c r="J53" s="44"/>
      <c r="K53" s="44"/>
      <c r="L53" s="22"/>
      <c r="M53" s="22"/>
      <c r="N53" s="44"/>
    </row>
    <row r="54" spans="1:14" ht="14" x14ac:dyDescent="0.15">
      <c r="A54" s="43" t="s">
        <v>2814</v>
      </c>
      <c r="B54" s="45"/>
      <c r="C54" s="22"/>
      <c r="D54" s="22"/>
      <c r="E54" s="22"/>
      <c r="F54" s="22"/>
      <c r="G54" s="22"/>
      <c r="H54" s="22"/>
      <c r="I54" s="44"/>
      <c r="J54" s="44"/>
      <c r="K54" s="44"/>
      <c r="L54" s="22"/>
      <c r="M54" s="22"/>
      <c r="N54" s="44"/>
    </row>
    <row r="55" spans="1:14" ht="14" x14ac:dyDescent="0.15">
      <c r="A55" s="43" t="s">
        <v>2815</v>
      </c>
      <c r="B55" s="45"/>
      <c r="C55" s="22"/>
      <c r="D55" s="22"/>
      <c r="E55" s="22"/>
      <c r="F55" s="22"/>
      <c r="G55" s="22"/>
      <c r="H55" s="22"/>
      <c r="I55" s="44"/>
      <c r="J55" s="44"/>
      <c r="K55" s="44"/>
      <c r="L55" s="22"/>
      <c r="M55" s="22"/>
      <c r="N55" s="44"/>
    </row>
    <row r="56" spans="1:14" ht="14" x14ac:dyDescent="0.15">
      <c r="A56" s="43" t="s">
        <v>2816</v>
      </c>
      <c r="B56" s="45"/>
      <c r="C56" s="22"/>
      <c r="D56" s="22"/>
      <c r="E56" s="22"/>
      <c r="F56" s="22"/>
      <c r="G56" s="22"/>
      <c r="H56" s="22"/>
      <c r="I56" s="44"/>
      <c r="J56" s="44"/>
      <c r="K56" s="44"/>
      <c r="L56" s="22"/>
      <c r="M56" s="22"/>
      <c r="N56" s="44"/>
    </row>
    <row r="57" spans="1:14" ht="14" x14ac:dyDescent="0.15">
      <c r="A57" s="43" t="s">
        <v>2817</v>
      </c>
      <c r="B57" s="45"/>
      <c r="C57" s="22"/>
      <c r="D57" s="22"/>
      <c r="E57" s="22"/>
      <c r="F57" s="22"/>
      <c r="G57" s="22"/>
      <c r="H57" s="22"/>
      <c r="I57" s="44"/>
      <c r="J57" s="44"/>
      <c r="K57" s="44"/>
      <c r="L57" s="22"/>
      <c r="M57" s="22"/>
      <c r="N57" s="44"/>
    </row>
    <row r="58" spans="1:14" ht="14" x14ac:dyDescent="0.15">
      <c r="A58" s="43" t="s">
        <v>2818</v>
      </c>
      <c r="B58" s="45"/>
      <c r="C58" s="22"/>
      <c r="D58" s="22"/>
      <c r="E58" s="22"/>
      <c r="F58" s="22"/>
      <c r="G58" s="22"/>
      <c r="H58" s="22"/>
      <c r="I58" s="44"/>
      <c r="J58" s="44"/>
      <c r="K58" s="44"/>
      <c r="L58" s="22"/>
      <c r="M58" s="22"/>
      <c r="N58" s="44"/>
    </row>
    <row r="59" spans="1:14" ht="14" x14ac:dyDescent="0.15">
      <c r="A59" s="43" t="s">
        <v>2819</v>
      </c>
      <c r="B59" s="45"/>
      <c r="C59" s="22"/>
      <c r="D59" s="22"/>
      <c r="E59" s="22"/>
      <c r="F59" s="22"/>
      <c r="G59" s="22"/>
      <c r="H59" s="22"/>
      <c r="I59" s="44"/>
      <c r="J59" s="44"/>
      <c r="K59" s="44"/>
      <c r="L59" s="22"/>
      <c r="M59" s="22"/>
      <c r="N59" s="44"/>
    </row>
    <row r="60" spans="1:14" ht="14" x14ac:dyDescent="0.15">
      <c r="A60" s="43" t="s">
        <v>2820</v>
      </c>
      <c r="B60" s="45"/>
      <c r="C60" s="22"/>
      <c r="D60" s="22"/>
      <c r="E60" s="22"/>
      <c r="F60" s="22"/>
      <c r="G60" s="22"/>
      <c r="H60" s="22"/>
      <c r="I60" s="44"/>
      <c r="J60" s="44"/>
      <c r="K60" s="44"/>
      <c r="L60" s="22"/>
      <c r="M60" s="22"/>
      <c r="N60" s="44"/>
    </row>
    <row r="61" spans="1:14" ht="14" x14ac:dyDescent="0.15">
      <c r="A61" s="43" t="s">
        <v>2821</v>
      </c>
      <c r="B61" s="45"/>
      <c r="C61" s="22"/>
      <c r="D61" s="22"/>
      <c r="E61" s="22"/>
      <c r="F61" s="22"/>
      <c r="G61" s="22"/>
      <c r="H61" s="22"/>
      <c r="I61" s="44"/>
      <c r="J61" s="44"/>
      <c r="K61" s="44"/>
      <c r="L61" s="22"/>
      <c r="M61" s="22"/>
      <c r="N61" s="44"/>
    </row>
    <row r="62" spans="1:14" ht="14" x14ac:dyDescent="0.15">
      <c r="A62" s="43" t="s">
        <v>2822</v>
      </c>
      <c r="B62" s="45"/>
      <c r="C62" s="22"/>
      <c r="D62" s="22"/>
      <c r="E62" s="22"/>
      <c r="F62" s="22"/>
      <c r="G62" s="22"/>
      <c r="H62" s="22"/>
      <c r="I62" s="44"/>
      <c r="J62" s="44"/>
      <c r="K62" s="44"/>
      <c r="L62" s="22"/>
      <c r="M62" s="22"/>
      <c r="N62" s="44"/>
    </row>
    <row r="63" spans="1:14" ht="14" x14ac:dyDescent="0.15">
      <c r="A63" s="43" t="s">
        <v>2823</v>
      </c>
      <c r="B63" s="45"/>
      <c r="C63" s="22"/>
      <c r="D63" s="22"/>
      <c r="E63" s="22"/>
      <c r="F63" s="22"/>
      <c r="G63" s="22"/>
      <c r="H63" s="22"/>
      <c r="I63" s="44"/>
      <c r="J63" s="44"/>
      <c r="K63" s="44"/>
      <c r="L63" s="22"/>
      <c r="M63" s="22"/>
      <c r="N63" s="44"/>
    </row>
    <row r="64" spans="1:14" ht="14" x14ac:dyDescent="0.15">
      <c r="A64" s="43" t="s">
        <v>2824</v>
      </c>
      <c r="B64" s="45"/>
      <c r="C64" s="22"/>
      <c r="D64" s="22"/>
      <c r="E64" s="22"/>
      <c r="F64" s="22"/>
      <c r="G64" s="22"/>
      <c r="H64" s="22"/>
      <c r="I64" s="44"/>
      <c r="J64" s="44"/>
      <c r="K64" s="44"/>
      <c r="L64" s="22"/>
      <c r="M64" s="22"/>
      <c r="N64" s="44"/>
    </row>
    <row r="65" spans="1:14" ht="14" x14ac:dyDescent="0.15">
      <c r="A65" s="43" t="s">
        <v>2825</v>
      </c>
      <c r="B65" s="45"/>
      <c r="C65" s="22"/>
      <c r="D65" s="22"/>
      <c r="E65" s="22"/>
      <c r="F65" s="22"/>
      <c r="G65" s="22"/>
      <c r="H65" s="22"/>
      <c r="I65" s="44"/>
      <c r="J65" s="44"/>
      <c r="K65" s="44"/>
      <c r="L65" s="22"/>
      <c r="M65" s="22"/>
      <c r="N65" s="44"/>
    </row>
    <row r="66" spans="1:14" ht="14" x14ac:dyDescent="0.15">
      <c r="A66" s="43" t="s">
        <v>2826</v>
      </c>
      <c r="B66" s="45"/>
      <c r="C66" s="22"/>
      <c r="D66" s="22"/>
      <c r="E66" s="22"/>
      <c r="F66" s="22"/>
      <c r="G66" s="22"/>
      <c r="H66" s="22"/>
      <c r="I66" s="44"/>
      <c r="J66" s="44"/>
      <c r="K66" s="44"/>
      <c r="L66" s="22"/>
      <c r="M66" s="22"/>
      <c r="N66" s="44"/>
    </row>
    <row r="67" spans="1:14" ht="14" x14ac:dyDescent="0.15">
      <c r="A67" s="43" t="s">
        <v>2827</v>
      </c>
      <c r="B67" s="45"/>
      <c r="C67" s="22"/>
      <c r="D67" s="22"/>
      <c r="E67" s="22"/>
      <c r="F67" s="22"/>
      <c r="G67" s="22"/>
      <c r="H67" s="22"/>
      <c r="I67" s="44"/>
      <c r="J67" s="44"/>
      <c r="K67" s="44"/>
      <c r="L67" s="22"/>
      <c r="M67" s="22"/>
      <c r="N67" s="44"/>
    </row>
    <row r="68" spans="1:14" ht="14" x14ac:dyDescent="0.15">
      <c r="A68" s="43" t="s">
        <v>2828</v>
      </c>
      <c r="B68" s="45"/>
      <c r="C68" s="22"/>
      <c r="D68" s="22"/>
      <c r="E68" s="22"/>
      <c r="F68" s="22"/>
      <c r="G68" s="22"/>
      <c r="H68" s="22"/>
      <c r="I68" s="44"/>
      <c r="J68" s="44"/>
      <c r="K68" s="44"/>
      <c r="L68" s="22"/>
      <c r="M68" s="22"/>
      <c r="N68" s="44"/>
    </row>
    <row r="69" spans="1:14" ht="14" x14ac:dyDescent="0.15">
      <c r="A69" s="43" t="s">
        <v>2829</v>
      </c>
      <c r="B69" s="45"/>
      <c r="C69" s="22"/>
      <c r="D69" s="22"/>
      <c r="E69" s="22"/>
      <c r="F69" s="22"/>
      <c r="G69" s="22"/>
      <c r="H69" s="22"/>
      <c r="I69" s="44"/>
      <c r="J69" s="44"/>
      <c r="K69" s="44"/>
      <c r="L69" s="22"/>
      <c r="M69" s="22"/>
      <c r="N69" s="44"/>
    </row>
    <row r="70" spans="1:14" ht="14" x14ac:dyDescent="0.15">
      <c r="A70" s="43" t="s">
        <v>2830</v>
      </c>
      <c r="B70" s="45"/>
      <c r="C70" s="22"/>
      <c r="D70" s="22"/>
      <c r="E70" s="22"/>
      <c r="F70" s="22"/>
      <c r="G70" s="22"/>
      <c r="H70" s="22"/>
      <c r="I70" s="44"/>
      <c r="J70" s="44"/>
      <c r="K70" s="44"/>
      <c r="L70" s="22"/>
      <c r="M70" s="22"/>
      <c r="N70" s="44"/>
    </row>
    <row r="71" spans="1:14" ht="14" x14ac:dyDescent="0.15">
      <c r="A71" s="43" t="s">
        <v>2831</v>
      </c>
      <c r="B71" s="45"/>
      <c r="C71" s="22"/>
      <c r="D71" s="22"/>
      <c r="E71" s="22"/>
      <c r="F71" s="22"/>
      <c r="G71" s="22"/>
      <c r="H71" s="22"/>
      <c r="I71" s="44"/>
      <c r="J71" s="44"/>
      <c r="K71" s="44"/>
      <c r="L71" s="22"/>
      <c r="M71" s="22"/>
      <c r="N71" s="44"/>
    </row>
    <row r="72" spans="1:14" ht="14" x14ac:dyDescent="0.15">
      <c r="A72" s="43" t="s">
        <v>2832</v>
      </c>
      <c r="B72" s="45"/>
      <c r="C72" s="22"/>
      <c r="D72" s="22"/>
      <c r="E72" s="22"/>
      <c r="F72" s="22"/>
      <c r="G72" s="22"/>
      <c r="H72" s="22"/>
      <c r="I72" s="44"/>
      <c r="J72" s="44"/>
      <c r="K72" s="44"/>
      <c r="L72" s="22"/>
      <c r="M72" s="22"/>
      <c r="N72" s="44"/>
    </row>
    <row r="73" spans="1:14" ht="14" x14ac:dyDescent="0.15">
      <c r="A73" s="43" t="s">
        <v>2833</v>
      </c>
      <c r="B73" s="45"/>
      <c r="C73" s="22"/>
      <c r="D73" s="22"/>
      <c r="E73" s="22"/>
      <c r="F73" s="22"/>
      <c r="G73" s="22"/>
      <c r="H73" s="22"/>
      <c r="I73" s="44"/>
      <c r="J73" s="44"/>
      <c r="K73" s="44"/>
      <c r="L73" s="22"/>
      <c r="M73" s="22"/>
      <c r="N73" s="44"/>
    </row>
    <row r="74" spans="1:14" ht="14" x14ac:dyDescent="0.15">
      <c r="A74" s="43" t="s">
        <v>2834</v>
      </c>
      <c r="B74" s="45"/>
      <c r="C74" s="22"/>
      <c r="D74" s="22"/>
      <c r="E74" s="22"/>
      <c r="F74" s="22"/>
      <c r="G74" s="22"/>
      <c r="H74" s="22"/>
      <c r="I74" s="44"/>
      <c r="J74" s="44"/>
      <c r="K74" s="44"/>
      <c r="L74" s="22"/>
      <c r="M74" s="22"/>
      <c r="N74" s="44"/>
    </row>
    <row r="75" spans="1:14" ht="14" x14ac:dyDescent="0.15">
      <c r="A75" s="43" t="s">
        <v>2835</v>
      </c>
      <c r="B75" s="45"/>
      <c r="C75" s="22"/>
      <c r="D75" s="22"/>
      <c r="E75" s="22"/>
      <c r="F75" s="22"/>
      <c r="G75" s="22"/>
      <c r="H75" s="22"/>
      <c r="I75" s="44"/>
      <c r="J75" s="44"/>
      <c r="K75" s="44"/>
      <c r="L75" s="22"/>
      <c r="M75" s="22"/>
      <c r="N75" s="44"/>
    </row>
    <row r="76" spans="1:14" ht="14" x14ac:dyDescent="0.15">
      <c r="A76" s="43" t="s">
        <v>2836</v>
      </c>
      <c r="B76" s="45"/>
      <c r="C76" s="22"/>
      <c r="D76" s="22"/>
      <c r="E76" s="22"/>
      <c r="F76" s="22"/>
      <c r="G76" s="22"/>
      <c r="H76" s="22"/>
      <c r="I76" s="44"/>
      <c r="J76" s="44"/>
      <c r="K76" s="44"/>
      <c r="L76" s="22"/>
      <c r="M76" s="22"/>
      <c r="N76" s="44"/>
    </row>
    <row r="77" spans="1:14" ht="14" x14ac:dyDescent="0.15">
      <c r="A77" s="43" t="s">
        <v>2837</v>
      </c>
      <c r="B77" s="45"/>
      <c r="C77" s="22"/>
      <c r="D77" s="22"/>
      <c r="E77" s="22"/>
      <c r="F77" s="22"/>
      <c r="G77" s="22"/>
      <c r="H77" s="22"/>
      <c r="I77" s="44"/>
      <c r="J77" s="44"/>
      <c r="K77" s="44"/>
      <c r="L77" s="22"/>
      <c r="M77" s="22"/>
      <c r="N77" s="44"/>
    </row>
    <row r="78" spans="1:14" ht="14" x14ac:dyDescent="0.15">
      <c r="A78" s="43" t="s">
        <v>2838</v>
      </c>
      <c r="B78" s="45"/>
      <c r="C78" s="22"/>
      <c r="D78" s="22"/>
      <c r="E78" s="22"/>
      <c r="F78" s="22"/>
      <c r="G78" s="22"/>
      <c r="H78" s="22"/>
      <c r="I78" s="44"/>
      <c r="J78" s="44"/>
      <c r="K78" s="44"/>
      <c r="L78" s="22"/>
      <c r="M78" s="22"/>
      <c r="N78" s="44"/>
    </row>
    <row r="79" spans="1:14" ht="14" x14ac:dyDescent="0.15">
      <c r="A79" s="43" t="s">
        <v>2839</v>
      </c>
      <c r="B79" s="45"/>
      <c r="C79" s="22"/>
      <c r="D79" s="22"/>
      <c r="E79" s="22"/>
      <c r="F79" s="22"/>
      <c r="G79" s="22"/>
      <c r="H79" s="22"/>
      <c r="I79" s="44"/>
      <c r="J79" s="44"/>
      <c r="K79" s="44"/>
      <c r="L79" s="22"/>
      <c r="M79" s="22"/>
      <c r="N79" s="44"/>
    </row>
    <row r="80" spans="1:14" ht="14" x14ac:dyDescent="0.15">
      <c r="A80" s="43" t="s">
        <v>2840</v>
      </c>
      <c r="B80" s="45"/>
      <c r="C80" s="22"/>
      <c r="D80" s="22"/>
      <c r="E80" s="22"/>
      <c r="F80" s="22"/>
      <c r="G80" s="22"/>
      <c r="H80" s="22"/>
      <c r="I80" s="44"/>
      <c r="J80" s="44"/>
      <c r="K80" s="44"/>
      <c r="L80" s="22"/>
      <c r="M80" s="22"/>
      <c r="N80" s="44"/>
    </row>
    <row r="81" spans="1:14" ht="14" x14ac:dyDescent="0.15">
      <c r="A81" s="43" t="s">
        <v>2841</v>
      </c>
      <c r="B81" s="45"/>
      <c r="C81" s="22"/>
      <c r="D81" s="22"/>
      <c r="E81" s="22"/>
      <c r="F81" s="22"/>
      <c r="G81" s="22"/>
      <c r="H81" s="22"/>
      <c r="I81" s="44"/>
      <c r="J81" s="44"/>
      <c r="K81" s="44"/>
      <c r="L81" s="22"/>
      <c r="M81" s="22"/>
      <c r="N81" s="44"/>
    </row>
    <row r="82" spans="1:14" ht="14" x14ac:dyDescent="0.15">
      <c r="A82" s="43" t="s">
        <v>2842</v>
      </c>
      <c r="B82" s="45"/>
      <c r="C82" s="22"/>
      <c r="D82" s="22"/>
      <c r="E82" s="22"/>
      <c r="F82" s="22"/>
      <c r="G82" s="22"/>
      <c r="H82" s="22"/>
      <c r="I82" s="44"/>
      <c r="J82" s="44"/>
      <c r="K82" s="44"/>
      <c r="L82" s="22"/>
      <c r="M82" s="22"/>
      <c r="N82" s="44"/>
    </row>
    <row r="83" spans="1:14" ht="14" x14ac:dyDescent="0.15">
      <c r="A83" s="43" t="s">
        <v>2843</v>
      </c>
      <c r="B83" s="45"/>
      <c r="C83" s="22"/>
      <c r="D83" s="22"/>
      <c r="E83" s="22"/>
      <c r="F83" s="22"/>
      <c r="G83" s="22"/>
      <c r="H83" s="22"/>
      <c r="I83" s="44"/>
      <c r="J83" s="44"/>
      <c r="K83" s="44"/>
      <c r="L83" s="22"/>
      <c r="M83" s="22"/>
      <c r="N83" s="44"/>
    </row>
    <row r="84" spans="1:14" ht="14" x14ac:dyDescent="0.15">
      <c r="A84" s="43" t="s">
        <v>2844</v>
      </c>
      <c r="B84" s="45"/>
      <c r="C84" s="22"/>
      <c r="D84" s="22"/>
      <c r="E84" s="22"/>
      <c r="F84" s="22"/>
      <c r="G84" s="22"/>
      <c r="H84" s="22"/>
      <c r="I84" s="44"/>
      <c r="J84" s="44"/>
      <c r="K84" s="44"/>
      <c r="L84" s="22"/>
      <c r="M84" s="22"/>
      <c r="N84" s="44"/>
    </row>
    <row r="85" spans="1:14" ht="14" x14ac:dyDescent="0.15">
      <c r="A85" s="43" t="s">
        <v>2845</v>
      </c>
      <c r="B85" s="45"/>
      <c r="C85" s="22"/>
      <c r="D85" s="22"/>
      <c r="E85" s="22"/>
      <c r="F85" s="22"/>
      <c r="G85" s="22"/>
      <c r="H85" s="22"/>
      <c r="I85" s="44"/>
      <c r="J85" s="44"/>
      <c r="K85" s="44"/>
      <c r="L85" s="22"/>
      <c r="M85" s="22"/>
      <c r="N85" s="44"/>
    </row>
    <row r="86" spans="1:14" ht="14" x14ac:dyDescent="0.15">
      <c r="A86" s="43" t="s">
        <v>2846</v>
      </c>
      <c r="B86" s="45"/>
      <c r="C86" s="22"/>
      <c r="D86" s="22"/>
      <c r="E86" s="22"/>
      <c r="F86" s="22"/>
      <c r="G86" s="22"/>
      <c r="H86" s="22"/>
      <c r="I86" s="44"/>
      <c r="J86" s="44"/>
      <c r="K86" s="44"/>
      <c r="L86" s="22"/>
      <c r="M86" s="22"/>
      <c r="N86" s="44"/>
    </row>
    <row r="87" spans="1:14" ht="14" x14ac:dyDescent="0.15">
      <c r="A87" s="43" t="s">
        <v>2847</v>
      </c>
      <c r="B87" s="45"/>
      <c r="C87" s="22"/>
      <c r="D87" s="22"/>
      <c r="E87" s="22"/>
      <c r="F87" s="22"/>
      <c r="G87" s="22"/>
      <c r="H87" s="22"/>
      <c r="I87" s="44"/>
      <c r="J87" s="44"/>
      <c r="K87" s="44"/>
      <c r="L87" s="22"/>
      <c r="M87" s="22"/>
      <c r="N87" s="44"/>
    </row>
    <row r="88" spans="1:14" ht="14" x14ac:dyDescent="0.15">
      <c r="A88" s="43" t="s">
        <v>2848</v>
      </c>
      <c r="B88" s="45"/>
      <c r="C88" s="22"/>
      <c r="D88" s="22"/>
      <c r="E88" s="22"/>
      <c r="F88" s="22"/>
      <c r="G88" s="22"/>
      <c r="H88" s="22"/>
      <c r="I88" s="44"/>
      <c r="J88" s="44"/>
      <c r="K88" s="44"/>
      <c r="L88" s="22"/>
      <c r="M88" s="22"/>
      <c r="N88" s="44"/>
    </row>
    <row r="89" spans="1:14" ht="14" x14ac:dyDescent="0.15">
      <c r="A89" s="43" t="s">
        <v>2849</v>
      </c>
      <c r="B89" s="45"/>
      <c r="C89" s="22"/>
      <c r="D89" s="22"/>
      <c r="E89" s="22"/>
      <c r="F89" s="22"/>
      <c r="G89" s="22"/>
      <c r="H89" s="22"/>
      <c r="I89" s="44"/>
      <c r="J89" s="44"/>
      <c r="K89" s="44"/>
      <c r="L89" s="22"/>
      <c r="M89" s="22"/>
      <c r="N89" s="44"/>
    </row>
    <row r="90" spans="1:14" ht="14" x14ac:dyDescent="0.15">
      <c r="A90" s="43" t="s">
        <v>2850</v>
      </c>
      <c r="B90" s="45"/>
      <c r="C90" s="22"/>
      <c r="D90" s="22"/>
      <c r="E90" s="22"/>
      <c r="F90" s="22"/>
      <c r="G90" s="22"/>
      <c r="H90" s="22"/>
      <c r="I90" s="44"/>
      <c r="J90" s="44"/>
      <c r="K90" s="44"/>
      <c r="L90" s="22"/>
      <c r="M90" s="22"/>
      <c r="N90" s="44"/>
    </row>
    <row r="91" spans="1:14" ht="14" x14ac:dyDescent="0.15">
      <c r="A91" s="43" t="s">
        <v>2851</v>
      </c>
      <c r="B91" s="45"/>
      <c r="C91" s="22"/>
      <c r="D91" s="22"/>
      <c r="E91" s="22"/>
      <c r="F91" s="22"/>
      <c r="G91" s="22"/>
      <c r="H91" s="22"/>
      <c r="I91" s="44"/>
      <c r="J91" s="44"/>
      <c r="K91" s="44"/>
      <c r="L91" s="22"/>
      <c r="M91" s="22"/>
      <c r="N91" s="44"/>
    </row>
    <row r="92" spans="1:14" ht="14" x14ac:dyDescent="0.15">
      <c r="A92" s="43" t="s">
        <v>2852</v>
      </c>
      <c r="B92" s="45"/>
      <c r="C92" s="22"/>
      <c r="D92" s="22"/>
      <c r="E92" s="22"/>
      <c r="F92" s="22"/>
      <c r="G92" s="22"/>
      <c r="H92" s="22"/>
      <c r="I92" s="44"/>
      <c r="J92" s="44"/>
      <c r="K92" s="44"/>
      <c r="L92" s="22"/>
      <c r="M92" s="22"/>
      <c r="N92" s="44"/>
    </row>
    <row r="93" spans="1:14" ht="14" x14ac:dyDescent="0.15">
      <c r="A93" s="43" t="s">
        <v>2853</v>
      </c>
      <c r="B93" s="45"/>
      <c r="C93" s="22"/>
      <c r="D93" s="22"/>
      <c r="E93" s="22"/>
      <c r="F93" s="22"/>
      <c r="G93" s="22"/>
      <c r="H93" s="22"/>
      <c r="I93" s="44"/>
      <c r="J93" s="44"/>
      <c r="K93" s="44"/>
      <c r="L93" s="22"/>
      <c r="M93" s="22"/>
      <c r="N93" s="44"/>
    </row>
    <row r="94" spans="1:14" ht="14" x14ac:dyDescent="0.15">
      <c r="A94" s="43" t="s">
        <v>2854</v>
      </c>
      <c r="B94" s="45"/>
      <c r="C94" s="22"/>
      <c r="D94" s="22"/>
      <c r="E94" s="22"/>
      <c r="F94" s="22"/>
      <c r="G94" s="22"/>
      <c r="H94" s="22"/>
      <c r="I94" s="44"/>
      <c r="J94" s="44"/>
      <c r="K94" s="44"/>
      <c r="L94" s="22"/>
      <c r="M94" s="22"/>
      <c r="N94" s="44"/>
    </row>
    <row r="95" spans="1:14" ht="14" x14ac:dyDescent="0.15">
      <c r="A95" s="43" t="s">
        <v>2855</v>
      </c>
      <c r="B95" s="45"/>
      <c r="C95" s="22"/>
      <c r="D95" s="22"/>
      <c r="E95" s="22"/>
      <c r="F95" s="22"/>
      <c r="G95" s="22"/>
      <c r="H95" s="22"/>
      <c r="I95" s="44"/>
      <c r="J95" s="44"/>
      <c r="K95" s="44"/>
      <c r="L95" s="22"/>
      <c r="M95" s="22"/>
      <c r="N95" s="44"/>
    </row>
    <row r="96" spans="1:14" ht="14" x14ac:dyDescent="0.15">
      <c r="A96" s="43" t="s">
        <v>2856</v>
      </c>
      <c r="B96" s="45"/>
      <c r="C96" s="22"/>
      <c r="D96" s="22"/>
      <c r="E96" s="22"/>
      <c r="F96" s="22"/>
      <c r="G96" s="22"/>
      <c r="H96" s="22"/>
      <c r="I96" s="44"/>
      <c r="J96" s="44"/>
      <c r="K96" s="44"/>
      <c r="L96" s="22"/>
      <c r="M96" s="22"/>
      <c r="N96" s="44"/>
    </row>
    <row r="97" spans="1:14" ht="14" x14ac:dyDescent="0.15">
      <c r="A97" s="43" t="s">
        <v>2857</v>
      </c>
      <c r="B97" s="45"/>
      <c r="C97" s="22"/>
      <c r="D97" s="22"/>
      <c r="E97" s="22"/>
      <c r="F97" s="22"/>
      <c r="G97" s="22"/>
      <c r="H97" s="22"/>
      <c r="I97" s="44"/>
      <c r="J97" s="44"/>
      <c r="K97" s="44"/>
      <c r="L97" s="22"/>
      <c r="M97" s="22"/>
      <c r="N97" s="44"/>
    </row>
    <row r="98" spans="1:14" ht="14" x14ac:dyDescent="0.15">
      <c r="A98" s="43" t="s">
        <v>2858</v>
      </c>
      <c r="B98" s="45"/>
      <c r="C98" s="22"/>
      <c r="D98" s="22"/>
      <c r="E98" s="22"/>
      <c r="F98" s="22"/>
      <c r="G98" s="22"/>
      <c r="H98" s="22"/>
      <c r="I98" s="44"/>
      <c r="J98" s="44"/>
      <c r="K98" s="44"/>
      <c r="L98" s="22"/>
      <c r="M98" s="22"/>
      <c r="N98" s="44"/>
    </row>
    <row r="99" spans="1:14" ht="14" x14ac:dyDescent="0.15">
      <c r="A99" s="43" t="s">
        <v>2859</v>
      </c>
      <c r="B99" s="45"/>
      <c r="C99" s="22"/>
      <c r="D99" s="22"/>
      <c r="E99" s="22"/>
      <c r="F99" s="22"/>
      <c r="G99" s="22"/>
      <c r="H99" s="22"/>
      <c r="I99" s="44"/>
      <c r="J99" s="44"/>
      <c r="K99" s="44"/>
      <c r="L99" s="22"/>
      <c r="M99" s="22"/>
      <c r="N99" s="44"/>
    </row>
    <row r="100" spans="1:14" ht="14" x14ac:dyDescent="0.15">
      <c r="A100" s="43" t="s">
        <v>2860</v>
      </c>
      <c r="B100" s="45"/>
      <c r="C100" s="22"/>
      <c r="D100" s="22"/>
      <c r="E100" s="22"/>
      <c r="F100" s="22"/>
      <c r="G100" s="22"/>
      <c r="H100" s="22"/>
      <c r="I100" s="44"/>
      <c r="J100" s="44"/>
      <c r="K100" s="44"/>
      <c r="L100" s="22"/>
      <c r="M100" s="22"/>
      <c r="N100" s="44"/>
    </row>
    <row r="101" spans="1:14" ht="14" x14ac:dyDescent="0.15">
      <c r="A101" s="43" t="s">
        <v>2861</v>
      </c>
      <c r="B101" s="45"/>
      <c r="C101" s="22"/>
      <c r="D101" s="22"/>
      <c r="E101" s="22"/>
      <c r="F101" s="22"/>
      <c r="G101" s="22"/>
      <c r="H101" s="22"/>
      <c r="I101" s="44"/>
      <c r="J101" s="44"/>
      <c r="K101" s="44"/>
      <c r="L101" s="22"/>
      <c r="M101" s="22"/>
      <c r="N101" s="44"/>
    </row>
    <row r="102" spans="1:14" ht="14" x14ac:dyDescent="0.15">
      <c r="A102" s="43" t="s">
        <v>2862</v>
      </c>
      <c r="B102" s="45"/>
      <c r="C102" s="22"/>
      <c r="D102" s="22"/>
      <c r="E102" s="22"/>
      <c r="F102" s="22"/>
      <c r="G102" s="22"/>
      <c r="H102" s="22"/>
      <c r="I102" s="44"/>
      <c r="J102" s="44"/>
      <c r="K102" s="44"/>
      <c r="L102" s="22"/>
      <c r="M102" s="22"/>
      <c r="N102" s="44"/>
    </row>
    <row r="103" spans="1:14" ht="14" x14ac:dyDescent="0.15">
      <c r="A103" s="43" t="s">
        <v>2863</v>
      </c>
      <c r="B103" s="45"/>
      <c r="C103" s="22"/>
      <c r="D103" s="22"/>
      <c r="E103" s="22"/>
      <c r="F103" s="22"/>
      <c r="G103" s="22"/>
      <c r="H103" s="22"/>
      <c r="I103" s="44"/>
      <c r="J103" s="44"/>
      <c r="K103" s="44"/>
      <c r="L103" s="22"/>
      <c r="M103" s="22"/>
      <c r="N103" s="44"/>
    </row>
    <row r="104" spans="1:14" ht="14" x14ac:dyDescent="0.15">
      <c r="A104" s="43" t="s">
        <v>2864</v>
      </c>
      <c r="B104" s="45"/>
      <c r="C104" s="22"/>
      <c r="D104" s="22"/>
      <c r="E104" s="22"/>
      <c r="F104" s="22"/>
      <c r="G104" s="22"/>
      <c r="H104" s="22"/>
      <c r="I104" s="44"/>
      <c r="J104" s="44"/>
      <c r="K104" s="44"/>
      <c r="L104" s="22"/>
      <c r="M104" s="22"/>
      <c r="N104" s="44"/>
    </row>
    <row r="105" spans="1:14" ht="14" x14ac:dyDescent="0.15">
      <c r="A105" s="43" t="s">
        <v>2865</v>
      </c>
      <c r="B105" s="45"/>
      <c r="C105" s="22"/>
      <c r="D105" s="22"/>
      <c r="E105" s="22"/>
      <c r="F105" s="22"/>
      <c r="G105" s="22"/>
      <c r="H105" s="22"/>
      <c r="I105" s="44"/>
      <c r="J105" s="44"/>
      <c r="K105" s="44"/>
      <c r="L105" s="22"/>
      <c r="M105" s="22"/>
      <c r="N105" s="44"/>
    </row>
    <row r="106" spans="1:14" ht="14" x14ac:dyDescent="0.15">
      <c r="A106" s="43" t="s">
        <v>2866</v>
      </c>
      <c r="B106" s="45"/>
      <c r="C106" s="22"/>
      <c r="D106" s="22"/>
      <c r="E106" s="22"/>
      <c r="F106" s="22"/>
      <c r="G106" s="22"/>
      <c r="H106" s="22"/>
      <c r="I106" s="44"/>
      <c r="J106" s="44"/>
      <c r="K106" s="44"/>
      <c r="L106" s="22"/>
      <c r="M106" s="22"/>
      <c r="N106" s="44"/>
    </row>
    <row r="107" spans="1:14" ht="14" x14ac:dyDescent="0.15">
      <c r="A107" s="43" t="s">
        <v>2867</v>
      </c>
      <c r="B107" s="45"/>
      <c r="C107" s="22"/>
      <c r="D107" s="22"/>
      <c r="E107" s="22"/>
      <c r="F107" s="22"/>
      <c r="G107" s="22"/>
      <c r="H107" s="22"/>
      <c r="I107" s="44"/>
      <c r="J107" s="44"/>
      <c r="K107" s="44"/>
      <c r="L107" s="22"/>
      <c r="M107" s="22"/>
      <c r="N107" s="44"/>
    </row>
    <row r="108" spans="1:14" ht="14" x14ac:dyDescent="0.15">
      <c r="A108" s="43" t="s">
        <v>2868</v>
      </c>
      <c r="B108" s="45"/>
      <c r="C108" s="22"/>
      <c r="D108" s="22"/>
      <c r="E108" s="22"/>
      <c r="F108" s="22"/>
      <c r="G108" s="22"/>
      <c r="H108" s="22"/>
      <c r="I108" s="44"/>
      <c r="J108" s="44"/>
      <c r="K108" s="44"/>
      <c r="L108" s="22"/>
      <c r="M108" s="22"/>
      <c r="N108" s="44"/>
    </row>
    <row r="109" spans="1:14" ht="14" x14ac:dyDescent="0.15">
      <c r="A109" s="43" t="s">
        <v>2869</v>
      </c>
      <c r="B109" s="45"/>
      <c r="C109" s="22"/>
      <c r="D109" s="22"/>
      <c r="E109" s="22"/>
      <c r="F109" s="22"/>
      <c r="G109" s="22"/>
      <c r="H109" s="22"/>
      <c r="I109" s="44"/>
      <c r="J109" s="44"/>
      <c r="K109" s="44"/>
      <c r="L109" s="22"/>
      <c r="M109" s="22"/>
      <c r="N109" s="44"/>
    </row>
    <row r="110" spans="1:14" ht="14" x14ac:dyDescent="0.15">
      <c r="A110" s="43" t="s">
        <v>2870</v>
      </c>
      <c r="B110" s="45"/>
      <c r="C110" s="22"/>
      <c r="D110" s="22"/>
      <c r="E110" s="22"/>
      <c r="F110" s="22"/>
      <c r="G110" s="22"/>
      <c r="H110" s="22"/>
      <c r="I110" s="44"/>
      <c r="J110" s="44"/>
      <c r="K110" s="44"/>
      <c r="L110" s="22"/>
      <c r="M110" s="22"/>
      <c r="N110" s="44"/>
    </row>
    <row r="111" spans="1:14" ht="14" x14ac:dyDescent="0.15">
      <c r="A111" s="43" t="s">
        <v>2871</v>
      </c>
      <c r="B111" s="45"/>
      <c r="C111" s="22"/>
      <c r="D111" s="22"/>
      <c r="E111" s="22"/>
      <c r="F111" s="22"/>
      <c r="G111" s="22"/>
      <c r="H111" s="22"/>
      <c r="I111" s="44"/>
      <c r="J111" s="44"/>
      <c r="K111" s="44"/>
      <c r="L111" s="22"/>
      <c r="M111" s="22"/>
      <c r="N111" s="44"/>
    </row>
    <row r="112" spans="1:14" ht="14" x14ac:dyDescent="0.15">
      <c r="A112" s="43" t="s">
        <v>2872</v>
      </c>
      <c r="B112" s="45"/>
      <c r="C112" s="22"/>
      <c r="D112" s="22"/>
      <c r="E112" s="22"/>
      <c r="F112" s="22"/>
      <c r="G112" s="22"/>
      <c r="H112" s="22"/>
      <c r="I112" s="44"/>
      <c r="J112" s="44"/>
      <c r="K112" s="44"/>
      <c r="L112" s="22"/>
      <c r="M112" s="22"/>
      <c r="N112" s="44"/>
    </row>
    <row r="113" spans="1:14" ht="14" x14ac:dyDescent="0.15">
      <c r="A113" s="43" t="s">
        <v>2873</v>
      </c>
      <c r="B113" s="45"/>
      <c r="C113" s="22"/>
      <c r="D113" s="22"/>
      <c r="E113" s="22"/>
      <c r="F113" s="22"/>
      <c r="G113" s="22"/>
      <c r="H113" s="22"/>
      <c r="I113" s="44"/>
      <c r="J113" s="44"/>
      <c r="K113" s="44"/>
      <c r="L113" s="22"/>
      <c r="M113" s="22"/>
      <c r="N113" s="44"/>
    </row>
    <row r="114" spans="1:14" ht="14" x14ac:dyDescent="0.15">
      <c r="A114" s="43" t="s">
        <v>2874</v>
      </c>
      <c r="B114" s="45"/>
      <c r="C114" s="22"/>
      <c r="D114" s="22"/>
      <c r="E114" s="22"/>
      <c r="F114" s="22"/>
      <c r="G114" s="22"/>
      <c r="H114" s="22"/>
      <c r="I114" s="44"/>
      <c r="J114" s="44"/>
      <c r="K114" s="44"/>
      <c r="L114" s="22"/>
      <c r="M114" s="22"/>
      <c r="N114" s="44"/>
    </row>
    <row r="115" spans="1:14" ht="14" x14ac:dyDescent="0.15">
      <c r="A115" s="43" t="s">
        <v>2875</v>
      </c>
      <c r="B115" s="45"/>
      <c r="C115" s="22"/>
      <c r="D115" s="22"/>
      <c r="E115" s="22"/>
      <c r="F115" s="22"/>
      <c r="G115" s="22"/>
      <c r="H115" s="22"/>
      <c r="I115" s="44"/>
      <c r="J115" s="44"/>
      <c r="K115" s="44"/>
      <c r="L115" s="22"/>
      <c r="M115" s="22"/>
      <c r="N115" s="44"/>
    </row>
    <row r="116" spans="1:14" ht="14" x14ac:dyDescent="0.15">
      <c r="A116" s="43" t="s">
        <v>2876</v>
      </c>
      <c r="B116" s="45"/>
      <c r="C116" s="22"/>
      <c r="D116" s="22"/>
      <c r="E116" s="22"/>
      <c r="F116" s="22"/>
      <c r="G116" s="22"/>
      <c r="H116" s="22"/>
      <c r="I116" s="44"/>
      <c r="J116" s="44"/>
      <c r="K116" s="44"/>
      <c r="L116" s="22"/>
      <c r="M116" s="22"/>
      <c r="N116" s="44"/>
    </row>
    <row r="117" spans="1:14" ht="14" x14ac:dyDescent="0.15">
      <c r="A117" s="43" t="s">
        <v>2877</v>
      </c>
      <c r="B117" s="45"/>
      <c r="C117" s="22"/>
      <c r="D117" s="22"/>
      <c r="E117" s="22"/>
      <c r="F117" s="22"/>
      <c r="G117" s="22"/>
      <c r="H117" s="22"/>
      <c r="I117" s="44"/>
      <c r="J117" s="44"/>
      <c r="K117" s="44"/>
      <c r="L117" s="22"/>
      <c r="M117" s="22"/>
      <c r="N117" s="44"/>
    </row>
    <row r="118" spans="1:14" ht="14" x14ac:dyDescent="0.15">
      <c r="A118" s="43" t="s">
        <v>2878</v>
      </c>
      <c r="B118" s="45"/>
      <c r="C118" s="22"/>
      <c r="D118" s="22"/>
      <c r="E118" s="22"/>
      <c r="F118" s="22"/>
      <c r="G118" s="22"/>
      <c r="H118" s="22"/>
      <c r="I118" s="44"/>
      <c r="J118" s="44"/>
      <c r="K118" s="44"/>
      <c r="L118" s="22"/>
      <c r="M118" s="22"/>
      <c r="N118" s="44"/>
    </row>
    <row r="119" spans="1:14" ht="14" x14ac:dyDescent="0.15">
      <c r="A119" s="43" t="s">
        <v>2879</v>
      </c>
      <c r="B119" s="45"/>
      <c r="C119" s="22"/>
      <c r="D119" s="22"/>
      <c r="E119" s="22"/>
      <c r="F119" s="22"/>
      <c r="G119" s="22"/>
      <c r="H119" s="22"/>
      <c r="I119" s="44"/>
      <c r="J119" s="44"/>
      <c r="K119" s="44"/>
      <c r="L119" s="22"/>
      <c r="M119" s="22"/>
      <c r="N119" s="44"/>
    </row>
    <row r="120" spans="1:14" ht="14" x14ac:dyDescent="0.15">
      <c r="A120" s="43" t="s">
        <v>2880</v>
      </c>
      <c r="B120" s="45"/>
      <c r="C120" s="22"/>
      <c r="D120" s="22"/>
      <c r="E120" s="22"/>
      <c r="F120" s="22"/>
      <c r="G120" s="22"/>
      <c r="H120" s="22"/>
      <c r="I120" s="44"/>
      <c r="J120" s="44"/>
      <c r="K120" s="44"/>
      <c r="L120" s="22"/>
      <c r="M120" s="22"/>
      <c r="N120" s="44"/>
    </row>
    <row r="121" spans="1:14" ht="14" x14ac:dyDescent="0.15">
      <c r="A121" s="43" t="s">
        <v>2881</v>
      </c>
      <c r="B121" s="45"/>
      <c r="C121" s="22"/>
      <c r="D121" s="22"/>
      <c r="E121" s="22"/>
      <c r="F121" s="22"/>
      <c r="G121" s="22"/>
      <c r="H121" s="22"/>
      <c r="I121" s="44"/>
      <c r="J121" s="44"/>
      <c r="K121" s="44"/>
      <c r="L121" s="22"/>
      <c r="M121" s="22"/>
      <c r="N121" s="44"/>
    </row>
    <row r="122" spans="1:14" ht="14" x14ac:dyDescent="0.15">
      <c r="A122" s="43" t="s">
        <v>2882</v>
      </c>
      <c r="B122" s="45"/>
      <c r="C122" s="22"/>
      <c r="D122" s="22"/>
      <c r="E122" s="22"/>
      <c r="F122" s="22"/>
      <c r="G122" s="22"/>
      <c r="H122" s="22"/>
      <c r="I122" s="44"/>
      <c r="J122" s="44"/>
      <c r="K122" s="44"/>
      <c r="L122" s="22"/>
      <c r="M122" s="22"/>
      <c r="N122" s="44"/>
    </row>
    <row r="123" spans="1:14" ht="14" x14ac:dyDescent="0.15">
      <c r="A123" s="43" t="s">
        <v>2883</v>
      </c>
      <c r="B123" s="45"/>
      <c r="C123" s="22"/>
      <c r="D123" s="22"/>
      <c r="E123" s="22"/>
      <c r="F123" s="22"/>
      <c r="G123" s="22"/>
      <c r="H123" s="22"/>
      <c r="I123" s="44"/>
      <c r="J123" s="44"/>
      <c r="K123" s="44"/>
      <c r="L123" s="22"/>
      <c r="M123" s="22"/>
      <c r="N123" s="44"/>
    </row>
    <row r="124" spans="1:14" ht="14" x14ac:dyDescent="0.15">
      <c r="A124" s="43" t="s">
        <v>2884</v>
      </c>
      <c r="B124" s="45"/>
      <c r="C124" s="22"/>
      <c r="D124" s="22"/>
      <c r="E124" s="22"/>
      <c r="F124" s="22"/>
      <c r="G124" s="22"/>
      <c r="H124" s="22"/>
      <c r="I124" s="44"/>
      <c r="J124" s="44"/>
      <c r="K124" s="44"/>
      <c r="L124" s="22"/>
      <c r="M124" s="22"/>
      <c r="N124" s="44"/>
    </row>
    <row r="125" spans="1:14" ht="14" x14ac:dyDescent="0.15">
      <c r="A125" s="43" t="s">
        <v>2885</v>
      </c>
      <c r="B125" s="45"/>
      <c r="C125" s="22"/>
      <c r="D125" s="22"/>
      <c r="E125" s="22"/>
      <c r="F125" s="22"/>
      <c r="G125" s="22"/>
      <c r="H125" s="22"/>
      <c r="I125" s="44"/>
      <c r="J125" s="44"/>
      <c r="K125" s="44"/>
      <c r="L125" s="22"/>
      <c r="M125" s="22"/>
      <c r="N125" s="44"/>
    </row>
    <row r="126" spans="1:14" ht="14" x14ac:dyDescent="0.15">
      <c r="A126" s="43" t="s">
        <v>2886</v>
      </c>
      <c r="B126" s="45"/>
      <c r="C126" s="22"/>
      <c r="D126" s="22"/>
      <c r="E126" s="22"/>
      <c r="F126" s="22"/>
      <c r="G126" s="22"/>
      <c r="H126" s="22"/>
      <c r="I126" s="44"/>
      <c r="J126" s="44"/>
      <c r="K126" s="44"/>
      <c r="L126" s="22"/>
      <c r="M126" s="22"/>
      <c r="N126" s="44"/>
    </row>
    <row r="127" spans="1:14" ht="14" x14ac:dyDescent="0.15">
      <c r="A127" s="43" t="s">
        <v>2887</v>
      </c>
      <c r="B127" s="45"/>
      <c r="C127" s="22"/>
      <c r="D127" s="22"/>
      <c r="E127" s="22"/>
      <c r="F127" s="22"/>
      <c r="G127" s="22"/>
      <c r="H127" s="22"/>
      <c r="I127" s="44"/>
      <c r="J127" s="44"/>
      <c r="K127" s="44"/>
      <c r="L127" s="22"/>
      <c r="M127" s="22"/>
      <c r="N127" s="44"/>
    </row>
    <row r="128" spans="1:14" ht="14" x14ac:dyDescent="0.15">
      <c r="A128" s="43" t="s">
        <v>2888</v>
      </c>
      <c r="B128" s="45"/>
      <c r="C128" s="22"/>
      <c r="D128" s="22"/>
      <c r="E128" s="22"/>
      <c r="F128" s="22"/>
      <c r="G128" s="22"/>
      <c r="H128" s="22"/>
      <c r="I128" s="44"/>
      <c r="J128" s="44"/>
      <c r="K128" s="44"/>
      <c r="L128" s="22"/>
      <c r="M128" s="22"/>
      <c r="N128" s="44"/>
    </row>
    <row r="129" spans="1:14" ht="14" x14ac:dyDescent="0.15">
      <c r="A129" s="43" t="s">
        <v>2889</v>
      </c>
      <c r="B129" s="45"/>
      <c r="C129" s="22"/>
      <c r="D129" s="22"/>
      <c r="E129" s="22"/>
      <c r="F129" s="22"/>
      <c r="G129" s="22"/>
      <c r="H129" s="22"/>
      <c r="I129" s="44"/>
      <c r="J129" s="44"/>
      <c r="K129" s="44"/>
      <c r="L129" s="22"/>
      <c r="M129" s="22"/>
      <c r="N129" s="44"/>
    </row>
    <row r="130" spans="1:14" ht="14" x14ac:dyDescent="0.15">
      <c r="A130" s="43" t="s">
        <v>2890</v>
      </c>
      <c r="B130" s="45"/>
      <c r="C130" s="22"/>
      <c r="D130" s="22"/>
      <c r="E130" s="22"/>
      <c r="F130" s="22"/>
      <c r="G130" s="22"/>
      <c r="H130" s="22"/>
      <c r="I130" s="44"/>
      <c r="J130" s="44"/>
      <c r="K130" s="44"/>
      <c r="L130" s="22"/>
      <c r="M130" s="22"/>
      <c r="N130" s="44"/>
    </row>
    <row r="131" spans="1:14" ht="14" x14ac:dyDescent="0.15">
      <c r="A131" s="43" t="s">
        <v>2891</v>
      </c>
      <c r="B131" s="45"/>
      <c r="C131" s="22"/>
      <c r="D131" s="22"/>
      <c r="E131" s="22"/>
      <c r="F131" s="22"/>
      <c r="G131" s="22"/>
      <c r="H131" s="22"/>
      <c r="I131" s="44"/>
      <c r="J131" s="44"/>
      <c r="K131" s="44"/>
      <c r="L131" s="22"/>
      <c r="M131" s="22"/>
      <c r="N131" s="44"/>
    </row>
    <row r="132" spans="1:14" ht="14" x14ac:dyDescent="0.15">
      <c r="A132" s="43" t="s">
        <v>2892</v>
      </c>
      <c r="B132" s="45"/>
      <c r="C132" s="22"/>
      <c r="D132" s="22"/>
      <c r="E132" s="22"/>
      <c r="F132" s="22"/>
      <c r="G132" s="22"/>
      <c r="H132" s="22"/>
      <c r="I132" s="44"/>
      <c r="J132" s="44"/>
      <c r="K132" s="44"/>
      <c r="L132" s="22"/>
      <c r="M132" s="22"/>
      <c r="N132" s="44"/>
    </row>
    <row r="133" spans="1:14" ht="14" x14ac:dyDescent="0.15">
      <c r="A133" s="43" t="s">
        <v>2893</v>
      </c>
      <c r="B133" s="45"/>
      <c r="C133" s="22"/>
      <c r="D133" s="22"/>
      <c r="E133" s="22"/>
      <c r="F133" s="22"/>
      <c r="G133" s="22"/>
      <c r="H133" s="22"/>
      <c r="I133" s="44"/>
      <c r="J133" s="44"/>
      <c r="K133" s="44"/>
      <c r="L133" s="22"/>
      <c r="M133" s="22"/>
      <c r="N133" s="44"/>
    </row>
    <row r="134" spans="1:14" ht="14" x14ac:dyDescent="0.15">
      <c r="A134" s="43" t="s">
        <v>2894</v>
      </c>
      <c r="B134" s="45"/>
      <c r="C134" s="22"/>
      <c r="D134" s="22"/>
      <c r="E134" s="22"/>
      <c r="F134" s="22"/>
      <c r="G134" s="22"/>
      <c r="H134" s="22"/>
      <c r="I134" s="44"/>
      <c r="J134" s="44"/>
      <c r="K134" s="44"/>
      <c r="L134" s="22"/>
      <c r="M134" s="22"/>
      <c r="N134" s="44"/>
    </row>
    <row r="135" spans="1:14" ht="14" x14ac:dyDescent="0.15">
      <c r="A135" s="43" t="s">
        <v>2895</v>
      </c>
      <c r="B135" s="45"/>
      <c r="C135" s="22"/>
      <c r="D135" s="22"/>
      <c r="E135" s="22"/>
      <c r="F135" s="22"/>
      <c r="G135" s="22"/>
      <c r="H135" s="22"/>
      <c r="I135" s="44"/>
      <c r="J135" s="44"/>
      <c r="K135" s="44"/>
      <c r="L135" s="22"/>
      <c r="M135" s="22"/>
      <c r="N135" s="44"/>
    </row>
    <row r="136" spans="1:14" ht="14" x14ac:dyDescent="0.15">
      <c r="A136" s="43" t="s">
        <v>2896</v>
      </c>
      <c r="B136" s="45"/>
      <c r="C136" s="22"/>
      <c r="D136" s="22"/>
      <c r="E136" s="22"/>
      <c r="F136" s="22"/>
      <c r="G136" s="22"/>
      <c r="H136" s="22"/>
      <c r="I136" s="44"/>
      <c r="J136" s="44"/>
      <c r="K136" s="44"/>
      <c r="L136" s="22"/>
      <c r="M136" s="22"/>
      <c r="N136" s="44"/>
    </row>
    <row r="137" spans="1:14" ht="14" x14ac:dyDescent="0.15">
      <c r="A137" s="43" t="s">
        <v>2897</v>
      </c>
      <c r="B137" s="45"/>
      <c r="C137" s="22"/>
      <c r="D137" s="22"/>
      <c r="E137" s="22"/>
      <c r="F137" s="22"/>
      <c r="G137" s="22"/>
      <c r="H137" s="22"/>
      <c r="I137" s="44"/>
      <c r="J137" s="44"/>
      <c r="K137" s="44"/>
      <c r="L137" s="22"/>
      <c r="M137" s="22"/>
      <c r="N137" s="44"/>
    </row>
    <row r="138" spans="1:14" ht="14" x14ac:dyDescent="0.15">
      <c r="A138" s="43" t="s">
        <v>2898</v>
      </c>
      <c r="B138" s="45"/>
      <c r="C138" s="22"/>
      <c r="D138" s="22"/>
      <c r="E138" s="22"/>
      <c r="F138" s="22"/>
      <c r="G138" s="22"/>
      <c r="H138" s="22"/>
      <c r="I138" s="44"/>
      <c r="J138" s="44"/>
      <c r="K138" s="44"/>
      <c r="L138" s="22"/>
      <c r="M138" s="22"/>
      <c r="N138" s="44"/>
    </row>
    <row r="139" spans="1:14" ht="14" x14ac:dyDescent="0.15">
      <c r="A139" s="43" t="s">
        <v>2899</v>
      </c>
      <c r="B139" s="45"/>
      <c r="C139" s="22"/>
      <c r="D139" s="22"/>
      <c r="E139" s="22"/>
      <c r="F139" s="22"/>
      <c r="G139" s="22"/>
      <c r="H139" s="22"/>
      <c r="I139" s="44"/>
      <c r="J139" s="44"/>
      <c r="K139" s="44"/>
      <c r="L139" s="22"/>
      <c r="M139" s="22"/>
      <c r="N139" s="44"/>
    </row>
    <row r="140" spans="1:14" ht="14" x14ac:dyDescent="0.15">
      <c r="A140" s="43" t="s">
        <v>2900</v>
      </c>
      <c r="B140" s="45"/>
      <c r="C140" s="22"/>
      <c r="D140" s="22"/>
      <c r="E140" s="22"/>
      <c r="F140" s="22"/>
      <c r="G140" s="22"/>
      <c r="H140" s="22"/>
      <c r="I140" s="44"/>
      <c r="J140" s="44"/>
      <c r="K140" s="44"/>
      <c r="L140" s="22"/>
      <c r="M140" s="22"/>
      <c r="N140" s="44"/>
    </row>
    <row r="141" spans="1:14" ht="14" x14ac:dyDescent="0.15">
      <c r="A141" s="43" t="s">
        <v>2901</v>
      </c>
      <c r="B141" s="45"/>
      <c r="C141" s="22"/>
      <c r="D141" s="22"/>
      <c r="E141" s="22"/>
      <c r="F141" s="22"/>
      <c r="G141" s="22"/>
      <c r="H141" s="22"/>
      <c r="I141" s="44"/>
      <c r="J141" s="44"/>
      <c r="K141" s="44"/>
      <c r="L141" s="22"/>
      <c r="M141" s="22"/>
      <c r="N141" s="44"/>
    </row>
    <row r="142" spans="1:14" ht="14" x14ac:dyDescent="0.15">
      <c r="A142" s="43" t="s">
        <v>2902</v>
      </c>
      <c r="B142" s="45"/>
      <c r="C142" s="22"/>
      <c r="D142" s="22"/>
      <c r="E142" s="22"/>
      <c r="F142" s="22"/>
      <c r="G142" s="22"/>
      <c r="H142" s="22"/>
      <c r="I142" s="44"/>
      <c r="J142" s="44"/>
      <c r="K142" s="44"/>
      <c r="L142" s="22"/>
      <c r="M142" s="22"/>
      <c r="N142" s="44"/>
    </row>
    <row r="143" spans="1:14" ht="14" x14ac:dyDescent="0.15">
      <c r="A143" s="43" t="s">
        <v>2903</v>
      </c>
      <c r="B143" s="45"/>
      <c r="C143" s="22"/>
      <c r="D143" s="22"/>
      <c r="E143" s="22"/>
      <c r="F143" s="22"/>
      <c r="G143" s="22"/>
      <c r="H143" s="22"/>
      <c r="I143" s="44"/>
      <c r="J143" s="44"/>
      <c r="K143" s="44"/>
      <c r="L143" s="22"/>
      <c r="M143" s="22"/>
      <c r="N143" s="44"/>
    </row>
    <row r="144" spans="1:14" ht="14" x14ac:dyDescent="0.15">
      <c r="A144" s="43" t="s">
        <v>2904</v>
      </c>
      <c r="B144" s="45"/>
      <c r="C144" s="22"/>
      <c r="D144" s="22"/>
      <c r="E144" s="22"/>
      <c r="F144" s="22"/>
      <c r="G144" s="22"/>
      <c r="H144" s="22"/>
      <c r="I144" s="44"/>
      <c r="J144" s="44"/>
      <c r="K144" s="44"/>
      <c r="L144" s="22"/>
      <c r="M144" s="22"/>
      <c r="N144" s="44"/>
    </row>
    <row r="145" spans="1:14" ht="14" x14ac:dyDescent="0.15">
      <c r="A145" s="43" t="s">
        <v>2905</v>
      </c>
      <c r="B145" s="45"/>
      <c r="C145" s="22"/>
      <c r="D145" s="22"/>
      <c r="E145" s="22"/>
      <c r="F145" s="22"/>
      <c r="G145" s="22"/>
      <c r="H145" s="22"/>
      <c r="I145" s="44"/>
      <c r="J145" s="44"/>
      <c r="K145" s="44"/>
      <c r="L145" s="22"/>
      <c r="M145" s="22"/>
      <c r="N145" s="44"/>
    </row>
    <row r="146" spans="1:14" ht="14" x14ac:dyDescent="0.15">
      <c r="A146" s="43" t="s">
        <v>2906</v>
      </c>
      <c r="B146" s="45"/>
      <c r="C146" s="22"/>
      <c r="D146" s="22"/>
      <c r="E146" s="22"/>
      <c r="F146" s="22"/>
      <c r="G146" s="22"/>
      <c r="H146" s="22"/>
      <c r="I146" s="44"/>
      <c r="J146" s="44"/>
      <c r="K146" s="44"/>
      <c r="L146" s="22"/>
      <c r="M146" s="22"/>
      <c r="N146" s="44"/>
    </row>
    <row r="147" spans="1:14" ht="14" x14ac:dyDescent="0.15">
      <c r="A147" s="43" t="s">
        <v>2907</v>
      </c>
      <c r="B147" s="45"/>
      <c r="C147" s="22"/>
      <c r="D147" s="22"/>
      <c r="E147" s="22"/>
      <c r="F147" s="22"/>
      <c r="G147" s="22"/>
      <c r="H147" s="22"/>
      <c r="I147" s="44"/>
      <c r="J147" s="44"/>
      <c r="K147" s="44"/>
      <c r="L147" s="22"/>
      <c r="M147" s="22"/>
      <c r="N147" s="44"/>
    </row>
    <row r="148" spans="1:14" ht="14" x14ac:dyDescent="0.15">
      <c r="A148" s="43" t="s">
        <v>2908</v>
      </c>
      <c r="B148" s="45"/>
      <c r="C148" s="22"/>
      <c r="D148" s="22"/>
      <c r="E148" s="22"/>
      <c r="F148" s="22"/>
      <c r="G148" s="22"/>
      <c r="H148" s="22"/>
      <c r="I148" s="44"/>
      <c r="J148" s="44"/>
      <c r="K148" s="44"/>
      <c r="L148" s="22"/>
      <c r="M148" s="22"/>
      <c r="N148" s="44"/>
    </row>
    <row r="149" spans="1:14" ht="14" x14ac:dyDescent="0.15">
      <c r="A149" s="43" t="s">
        <v>2909</v>
      </c>
      <c r="B149" s="45"/>
      <c r="C149" s="22"/>
      <c r="D149" s="22"/>
      <c r="E149" s="22"/>
      <c r="F149" s="22"/>
      <c r="G149" s="22"/>
      <c r="H149" s="22"/>
      <c r="I149" s="44"/>
      <c r="J149" s="44"/>
      <c r="K149" s="44"/>
      <c r="L149" s="22"/>
      <c r="M149" s="22"/>
      <c r="N149" s="44"/>
    </row>
    <row r="150" spans="1:14" ht="14" x14ac:dyDescent="0.15">
      <c r="A150" s="43" t="s">
        <v>2910</v>
      </c>
      <c r="B150" s="45"/>
      <c r="C150" s="22"/>
      <c r="D150" s="22"/>
      <c r="E150" s="22"/>
      <c r="F150" s="22"/>
      <c r="G150" s="22"/>
      <c r="H150" s="22"/>
      <c r="I150" s="44"/>
      <c r="J150" s="44"/>
      <c r="K150" s="44"/>
      <c r="L150" s="22"/>
      <c r="M150" s="22"/>
      <c r="N150" s="44"/>
    </row>
    <row r="151" spans="1:14" ht="14" x14ac:dyDescent="0.15">
      <c r="A151" s="43" t="s">
        <v>2911</v>
      </c>
      <c r="B151" s="45"/>
      <c r="C151" s="22"/>
      <c r="D151" s="22"/>
      <c r="E151" s="22"/>
      <c r="F151" s="22"/>
      <c r="G151" s="22"/>
      <c r="H151" s="22"/>
      <c r="I151" s="44"/>
      <c r="J151" s="44"/>
      <c r="K151" s="44"/>
      <c r="L151" s="22"/>
      <c r="M151" s="22"/>
      <c r="N151" s="44"/>
    </row>
    <row r="152" spans="1:14" ht="14" x14ac:dyDescent="0.15">
      <c r="A152" s="43" t="s">
        <v>2912</v>
      </c>
      <c r="B152" s="45"/>
      <c r="C152" s="22"/>
      <c r="D152" s="22"/>
      <c r="E152" s="22"/>
      <c r="F152" s="22"/>
      <c r="G152" s="22"/>
      <c r="H152" s="22"/>
      <c r="I152" s="44"/>
      <c r="J152" s="44"/>
      <c r="K152" s="44"/>
      <c r="L152" s="22"/>
      <c r="M152" s="22"/>
      <c r="N152" s="44"/>
    </row>
    <row r="153" spans="1:14" ht="14" x14ac:dyDescent="0.15">
      <c r="A153" s="43" t="s">
        <v>2913</v>
      </c>
      <c r="B153" s="45"/>
      <c r="C153" s="22"/>
      <c r="D153" s="22"/>
      <c r="E153" s="22"/>
      <c r="F153" s="22"/>
      <c r="G153" s="22"/>
      <c r="H153" s="22"/>
      <c r="I153" s="44"/>
      <c r="J153" s="44"/>
      <c r="K153" s="44"/>
      <c r="L153" s="22"/>
      <c r="M153" s="22"/>
      <c r="N153" s="44"/>
    </row>
    <row r="154" spans="1:14" ht="14" x14ac:dyDescent="0.15">
      <c r="A154" s="43" t="s">
        <v>2914</v>
      </c>
      <c r="B154" s="45"/>
      <c r="C154" s="22"/>
      <c r="D154" s="22"/>
      <c r="E154" s="22"/>
      <c r="F154" s="22"/>
      <c r="G154" s="22"/>
      <c r="H154" s="22"/>
      <c r="I154" s="44"/>
      <c r="J154" s="44"/>
      <c r="K154" s="44"/>
      <c r="L154" s="22"/>
      <c r="M154" s="22"/>
      <c r="N154" s="44"/>
    </row>
    <row r="155" spans="1:14" ht="14" x14ac:dyDescent="0.15">
      <c r="A155" s="43" t="s">
        <v>2915</v>
      </c>
      <c r="B155" s="45"/>
      <c r="C155" s="22"/>
      <c r="D155" s="22"/>
      <c r="E155" s="22"/>
      <c r="F155" s="22"/>
      <c r="G155" s="22"/>
      <c r="H155" s="22"/>
      <c r="I155" s="44"/>
      <c r="J155" s="44"/>
      <c r="K155" s="44"/>
      <c r="L155" s="22"/>
      <c r="M155" s="22"/>
      <c r="N155" s="44"/>
    </row>
    <row r="156" spans="1:14" ht="14" x14ac:dyDescent="0.15">
      <c r="A156" s="43" t="s">
        <v>2916</v>
      </c>
      <c r="B156" s="45"/>
      <c r="C156" s="22"/>
      <c r="D156" s="22"/>
      <c r="E156" s="22"/>
      <c r="F156" s="22"/>
      <c r="G156" s="22"/>
      <c r="H156" s="22"/>
      <c r="I156" s="44"/>
      <c r="J156" s="44"/>
      <c r="K156" s="44"/>
      <c r="L156" s="22"/>
      <c r="M156" s="22"/>
      <c r="N156" s="44"/>
    </row>
  </sheetData>
  <autoFilter ref="A5:N156" xr:uid="{00000000-0009-0000-0000-000010000000}"/>
  <conditionalFormatting sqref="I6:I156">
    <cfRule type="cellIs" dxfId="18" priority="2" operator="equal">
      <formula>"Critical"</formula>
    </cfRule>
    <cfRule type="cellIs" dxfId="17" priority="3" operator="equal">
      <formula>"High"</formula>
    </cfRule>
    <cfRule type="cellIs" dxfId="16" priority="4" operator="equal">
      <formula>"Medium"</formula>
    </cfRule>
    <cfRule type="cellIs" dxfId="15" priority="5" operator="equal">
      <formula>"Low"</formula>
    </cfRule>
  </conditionalFormatting>
  <dataValidations count="1">
    <dataValidation type="date" operator="greaterThan" allowBlank="1" showErrorMessage="1" error="Enter a valid date (dd/mm/yyyy)." sqref="B6:B156" xr:uid="{00000000-0002-0000-1000-000000000000}">
      <formula1>36526</formula1>
      <formula2>0</formula2>
    </dataValidation>
  </dataValidations>
  <pageMargins left="0.4" right="0.4" top="0.5" bottom="0.5" header="0.511811023622047" footer="0.5"/>
  <pageSetup paperSize="9" fitToHeight="0" orientation="landscape" horizontalDpi="300" verticalDpi="300"/>
  <headerFooter>
    <oddFooter>&amp;L&amp;8 CTO Consulting | Operating Model Assessment Toolkit&amp;R&amp;8 &amp;A | 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 entry" error="Please select a value from the list (values are maintained on the Lists tab)." xr:uid="{00000000-0002-0000-1000-000001000000}">
          <x14:formula1>
            <xm:f>Lists!$A$2:$A$18</xm:f>
          </x14:formula1>
          <x14:formula2>
            <xm:f>0</xm:f>
          </x14:formula2>
          <xm:sqref>C6:C156</xm:sqref>
        </x14:dataValidation>
        <x14:dataValidation type="list" allowBlank="1" showErrorMessage="1" errorTitle="Invalid entry" error="Please select a value from the list (values are maintained on the Lists tab)." xr:uid="{00000000-0002-0000-1000-000002000000}">
          <x14:formula1>
            <xm:f>Lists!$F$2:$F$5</xm:f>
          </x14:formula1>
          <x14:formula2>
            <xm:f>0</xm:f>
          </x14:formula2>
          <xm:sqref>I6:I156</xm:sqref>
        </x14:dataValidation>
        <x14:dataValidation type="list" allowBlank="1" showErrorMessage="1" errorTitle="Invalid entry" error="Please select a value from the list (values are maintained on the Lists tab)." xr:uid="{00000000-0002-0000-1000-000003000000}">
          <x14:formula1>
            <xm:f>Lists!$I$2:$I$4</xm:f>
          </x14:formula1>
          <x14:formula2>
            <xm:f>0</xm:f>
          </x14:formula2>
          <xm:sqref>K6:K156</xm:sqref>
        </x14:dataValidation>
        <x14:dataValidation type="list" allowBlank="1" showErrorMessage="1" errorTitle="Invalid entry" error="Please select a value from the list (values are maintained on the Lists tab)." xr:uid="{00000000-0002-0000-1000-000004000000}">
          <x14:formula1>
            <xm:f>Lists!$J$2:$J$4</xm:f>
          </x14:formula1>
          <x14:formula2>
            <xm:f>0</xm:f>
          </x14:formula2>
          <xm:sqref>N6:N156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C55A11"/>
    <pageSetUpPr fitToPage="1"/>
  </sheetPr>
  <dimension ref="B1:Q36"/>
  <sheetViews>
    <sheetView showGridLines="0" zoomScale="90" zoomScaleNormal="90" workbookViewId="0">
      <pane ySplit="3" topLeftCell="A4" activePane="bottomLeft" state="frozen"/>
      <selection pane="bottomLeft"/>
    </sheetView>
  </sheetViews>
  <sheetFormatPr baseColWidth="10" defaultColWidth="8.6640625" defaultRowHeight="13" x14ac:dyDescent="0.15"/>
  <cols>
    <col min="1" max="1" width="2" customWidth="1"/>
    <col min="2" max="2" width="7" customWidth="1"/>
    <col min="3" max="3" width="49" customWidth="1"/>
    <col min="4" max="4" width="21" customWidth="1"/>
    <col min="5" max="12" width="11" customWidth="1"/>
    <col min="13" max="16" width="10" customWidth="1"/>
    <col min="17" max="17" width="11" customWidth="1"/>
  </cols>
  <sheetData>
    <row r="1" spans="2:17" ht="27.75" customHeight="1" x14ac:dyDescent="0.15">
      <c r="B1" s="27" t="s">
        <v>2917</v>
      </c>
    </row>
    <row r="2" spans="2:17" x14ac:dyDescent="0.15">
      <c r="B2" s="15" t="str">
        <f>"Client: "&amp;IF(Engagement!C5="","[enter on Engagement tab]",Engagement!C5)&amp;"   |   Status: "&amp;Engagement!C14&amp;"   |   Version: "&amp;Engagement!C13</f>
        <v>Client: [enter on Engagement tab]   |   Status: Mobilising   |   Version: 0.1</v>
      </c>
    </row>
    <row r="3" spans="2:17" x14ac:dyDescent="0.15">
      <c r="B3" s="95" t="s">
        <v>2918</v>
      </c>
    </row>
    <row r="5" spans="2:17" ht="19.5" customHeight="1" x14ac:dyDescent="0.2">
      <c r="B5" s="16" t="s">
        <v>2919</v>
      </c>
      <c r="C5" s="17"/>
      <c r="D5" s="17"/>
      <c r="F5" s="16" t="s">
        <v>2920</v>
      </c>
      <c r="G5" s="17"/>
      <c r="H5" s="17"/>
      <c r="I5" s="17"/>
      <c r="J5" s="17"/>
      <c r="K5" s="17"/>
      <c r="L5" s="17"/>
    </row>
    <row r="6" spans="2:17" ht="19.5" customHeight="1" x14ac:dyDescent="0.15">
      <c r="B6" s="3" t="s">
        <v>2921</v>
      </c>
      <c r="C6" s="3"/>
      <c r="D6" s="97" t="str">
        <f>IFERROR(AVERAGE(Assessment!$G$6:$G$179),"")</f>
        <v/>
      </c>
      <c r="F6" s="5" t="s">
        <v>2922</v>
      </c>
      <c r="G6" s="5"/>
      <c r="H6" s="20" t="s">
        <v>2923</v>
      </c>
      <c r="I6" s="20" t="s">
        <v>2924</v>
      </c>
      <c r="J6" s="20" t="s">
        <v>2925</v>
      </c>
      <c r="K6" s="20" t="s">
        <v>2926</v>
      </c>
      <c r="L6" s="20" t="s">
        <v>2927</v>
      </c>
    </row>
    <row r="7" spans="2:17" ht="19.5" customHeight="1" x14ac:dyDescent="0.15">
      <c r="B7" s="3" t="s">
        <v>2928</v>
      </c>
      <c r="C7" s="3"/>
      <c r="D7" s="97" t="str">
        <f>IFERROR(AVERAGEIFS(Assessment!$H$6:$H$179,Assessment!$G$6:$G$179,"&gt;=1"),"")</f>
        <v/>
      </c>
      <c r="F7" s="2" t="s">
        <v>2929</v>
      </c>
      <c r="G7" s="2"/>
      <c r="H7" s="98">
        <f>COUNTIFS(Recommendations!$I$6:$I$86,$F7,Recommendations!$J$6:$J$86,H$6,Recommendations!$A$6:$A$86,"&lt;&gt;Example")</f>
        <v>0</v>
      </c>
      <c r="I7" s="98">
        <f>COUNTIFS(Recommendations!$I$6:$I$86,$F7,Recommendations!$J$6:$J$86,I$6,Recommendations!$A$6:$A$86,"&lt;&gt;Example")</f>
        <v>0</v>
      </c>
      <c r="J7" s="98">
        <f>COUNTIFS(Recommendations!$I$6:$I$86,$F7,Recommendations!$J$6:$J$86,J$6,Recommendations!$A$6:$A$86,"&lt;&gt;Example")</f>
        <v>0</v>
      </c>
      <c r="K7" s="98">
        <f>COUNTIFS(Recommendations!$I$6:$I$86,$F7,Recommendations!$J$6:$J$86,K$6,Recommendations!$A$6:$A$86,"&lt;&gt;Example")</f>
        <v>0</v>
      </c>
      <c r="L7" s="99">
        <f>SUM(H7:K7)</f>
        <v>0</v>
      </c>
    </row>
    <row r="8" spans="2:17" ht="19.5" customHeight="1" x14ac:dyDescent="0.15">
      <c r="B8" s="3" t="s">
        <v>2930</v>
      </c>
      <c r="C8" s="3"/>
      <c r="D8" s="97" t="str">
        <f>IFERROR(AVERAGE(Assessment!$I$6:$I$179),"")</f>
        <v/>
      </c>
      <c r="F8" s="1" t="s">
        <v>2931</v>
      </c>
      <c r="G8" s="1"/>
      <c r="H8" s="98">
        <f>COUNTIFS(Recommendations!$I$6:$I$86,$F8,Recommendations!$J$6:$J$86,H$6,Recommendations!$A$6:$A$86,"&lt;&gt;Example")</f>
        <v>0</v>
      </c>
      <c r="I8" s="98">
        <f>COUNTIFS(Recommendations!$I$6:$I$86,$F8,Recommendations!$J$6:$J$86,I$6,Recommendations!$A$6:$A$86,"&lt;&gt;Example")</f>
        <v>0</v>
      </c>
      <c r="J8" s="98">
        <f>COUNTIFS(Recommendations!$I$6:$I$86,$F8,Recommendations!$J$6:$J$86,J$6,Recommendations!$A$6:$A$86,"&lt;&gt;Example")</f>
        <v>0</v>
      </c>
      <c r="K8" s="98">
        <f>COUNTIFS(Recommendations!$I$6:$I$86,$F8,Recommendations!$J$6:$J$86,K$6,Recommendations!$A$6:$A$86,"&lt;&gt;Example")</f>
        <v>0</v>
      </c>
      <c r="L8" s="99">
        <f>SUM(H8:K8)</f>
        <v>0</v>
      </c>
    </row>
    <row r="9" spans="2:17" ht="19.5" customHeight="1" x14ac:dyDescent="0.15">
      <c r="B9" s="3" t="s">
        <v>2932</v>
      </c>
      <c r="C9" s="3"/>
      <c r="D9" s="100" t="str">
        <f>IF(ISNUMBER(D8),IF(D8&gt;=Engagement!$C$40,"Red",IF(D8&gt;=Engagement!$C$41,"Amber","Green")),"")</f>
        <v/>
      </c>
      <c r="F9" s="108" t="s">
        <v>2933</v>
      </c>
      <c r="G9" s="108"/>
      <c r="H9" s="98">
        <f>COUNTIFS(Recommendations!$I$6:$I$86,$F9,Recommendations!$J$6:$J$86,H$6,Recommendations!$A$6:$A$86,"&lt;&gt;Example")</f>
        <v>0</v>
      </c>
      <c r="I9" s="98">
        <f>COUNTIFS(Recommendations!$I$6:$I$86,$F9,Recommendations!$J$6:$J$86,I$6,Recommendations!$A$6:$A$86,"&lt;&gt;Example")</f>
        <v>0</v>
      </c>
      <c r="J9" s="98">
        <f>COUNTIFS(Recommendations!$I$6:$I$86,$F9,Recommendations!$J$6:$J$86,J$6,Recommendations!$A$6:$A$86,"&lt;&gt;Example")</f>
        <v>0</v>
      </c>
      <c r="K9" s="98">
        <f>COUNTIFS(Recommendations!$I$6:$I$86,$F9,Recommendations!$J$6:$J$86,K$6,Recommendations!$A$6:$A$86,"&lt;&gt;Example")</f>
        <v>0</v>
      </c>
      <c r="L9" s="99">
        <f>SUM(H9:K9)</f>
        <v>0</v>
      </c>
    </row>
    <row r="10" spans="2:17" ht="19.5" customHeight="1" x14ac:dyDescent="0.15">
      <c r="B10" s="3" t="s">
        <v>2934</v>
      </c>
      <c r="C10" s="3"/>
      <c r="D10" s="101">
        <f>(COUNT(Assessment!$G$6:$G$179)+COUNTIF(Assessment!$G$6:$G$179,"N/A"))/COUNTA(Assessment!$B$6:$B$179)</f>
        <v>0</v>
      </c>
      <c r="F10" s="109" t="s">
        <v>2935</v>
      </c>
      <c r="G10" s="109"/>
      <c r="H10" s="98">
        <f>COUNTIFS(Recommendations!$I$6:$I$86,$F10,Recommendations!$J$6:$J$86,H$6,Recommendations!$A$6:$A$86,"&lt;&gt;Example")</f>
        <v>0</v>
      </c>
      <c r="I10" s="98">
        <f>COUNTIFS(Recommendations!$I$6:$I$86,$F10,Recommendations!$J$6:$J$86,I$6,Recommendations!$A$6:$A$86,"&lt;&gt;Example")</f>
        <v>0</v>
      </c>
      <c r="J10" s="98">
        <f>COUNTIFS(Recommendations!$I$6:$I$86,$F10,Recommendations!$J$6:$J$86,J$6,Recommendations!$A$6:$A$86,"&lt;&gt;Example")</f>
        <v>0</v>
      </c>
      <c r="K10" s="98">
        <f>COUNTIFS(Recommendations!$I$6:$I$86,$F10,Recommendations!$J$6:$J$86,K$6,Recommendations!$A$6:$A$86,"&lt;&gt;Example")</f>
        <v>0</v>
      </c>
      <c r="L10" s="99">
        <f>SUM(H10:K10)</f>
        <v>0</v>
      </c>
    </row>
    <row r="11" spans="2:17" ht="19.5" customHeight="1" x14ac:dyDescent="0.15">
      <c r="B11" s="3" t="s">
        <v>2936</v>
      </c>
      <c r="C11" s="3"/>
      <c r="D11" s="100" t="str">
        <f>COUNTIFS(Stakeholders!$L$6:$L$66,"Completed",Stakeholders!$A$6:$A$66,"&lt;&gt;Example")&amp;" of "&amp;COUNTIFS(Stakeholders!$B$6:$B$66,"&lt;&gt;",Stakeholders!$A$6:$A$66,"&lt;&gt;Example")</f>
        <v>0 of 0</v>
      </c>
      <c r="F11" s="4" t="s">
        <v>2927</v>
      </c>
      <c r="G11" s="4"/>
      <c r="H11" s="99">
        <f>SUM(H7:H10)</f>
        <v>0</v>
      </c>
      <c r="I11" s="99">
        <f>SUM(I7:I10)</f>
        <v>0</v>
      </c>
      <c r="J11" s="99">
        <f>SUM(J7:J10)</f>
        <v>0</v>
      </c>
      <c r="K11" s="99">
        <f>SUM(K7:K10)</f>
        <v>0</v>
      </c>
      <c r="L11" s="99">
        <f>SUM(L7:L10)</f>
        <v>0</v>
      </c>
    </row>
    <row r="12" spans="2:17" ht="19.5" customHeight="1" x14ac:dyDescent="0.15">
      <c r="B12" s="3" t="s">
        <v>2937</v>
      </c>
      <c r="C12" s="3"/>
      <c r="D12" s="100" t="str">
        <f>COUNTIF('Document Requests'!$J$6:$J$89,"Received")&amp;" of "&amp;COUNTA('Document Requests'!$B$6:$B$89)</f>
        <v>0 of 69</v>
      </c>
      <c r="F12" s="102" t="str">
        <f>"Recommendations without a category or horizon: "&amp;(COUNTIFS(Recommendations!$A$6:$A$86,"&lt;&gt;Example",Recommendations!$C$6:$C$86,"&lt;&gt;")-L11)</f>
        <v>Recommendations without a category or horizon: 0</v>
      </c>
    </row>
    <row r="13" spans="2:17" ht="19.5" customHeight="1" x14ac:dyDescent="0.15">
      <c r="B13" s="3" t="s">
        <v>2938</v>
      </c>
      <c r="C13" s="3"/>
      <c r="D13" s="103">
        <f>COUNTIFS(Findings!$I$6:$I$156,"Critical",Findings!$N$6:$N$156,"&lt;&gt;Closed",Findings!$A$6:$A$156,"&lt;&gt;Example")+COUNTIFS(Findings!$I$6:$I$156,"High",Findings!$N$6:$N$156,"&lt;&gt;Closed",Findings!$A$6:$A$156,"&lt;&gt;Example")</f>
        <v>0</v>
      </c>
    </row>
    <row r="15" spans="2:17" ht="19.5" customHeight="1" x14ac:dyDescent="0.2">
      <c r="B15" s="16" t="s">
        <v>2939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</row>
    <row r="16" spans="2:17" ht="36" customHeight="1" x14ac:dyDescent="0.15">
      <c r="B16" s="20" t="s">
        <v>156</v>
      </c>
      <c r="C16" s="20" t="s">
        <v>157</v>
      </c>
      <c r="D16" s="20" t="s">
        <v>2940</v>
      </c>
      <c r="E16" s="20" t="s">
        <v>166</v>
      </c>
      <c r="F16" s="20" t="s">
        <v>2941</v>
      </c>
      <c r="G16" s="20" t="s">
        <v>2942</v>
      </c>
      <c r="H16" s="20" t="s">
        <v>2943</v>
      </c>
      <c r="I16" s="20" t="s">
        <v>2944</v>
      </c>
      <c r="J16" s="20" t="s">
        <v>2945</v>
      </c>
      <c r="K16" s="20" t="s">
        <v>2946</v>
      </c>
      <c r="L16" s="20" t="s">
        <v>929</v>
      </c>
      <c r="M16" s="20" t="s">
        <v>2357</v>
      </c>
      <c r="N16" s="20" t="s">
        <v>441</v>
      </c>
      <c r="O16" s="20" t="s">
        <v>728</v>
      </c>
      <c r="P16" s="20" t="s">
        <v>797</v>
      </c>
      <c r="Q16" s="20" t="s">
        <v>2947</v>
      </c>
    </row>
    <row r="17" spans="2:17" ht="18" customHeight="1" x14ac:dyDescent="0.15">
      <c r="B17" s="104" t="s">
        <v>167</v>
      </c>
      <c r="C17" s="96" t="s">
        <v>168</v>
      </c>
      <c r="D17" s="105" t="s">
        <v>174</v>
      </c>
      <c r="E17" s="57">
        <f>COUNTIFS(Assessment!$B$6:$B$179,$C17)</f>
        <v>9</v>
      </c>
      <c r="F17" s="57">
        <f>COUNTIFS(Assessment!$B$6:$B$179,$C17,Assessment!$G$6:$G$179,"&gt;=1")+COUNTIFS(Assessment!$B$6:$B$179,$C17,Assessment!$G$6:$G$179,"N/A")</f>
        <v>0</v>
      </c>
      <c r="G17" s="73">
        <f t="shared" ref="G17:G34" si="0">IFERROR(F17/E17,0)</f>
        <v>0</v>
      </c>
      <c r="H17" s="74" t="str">
        <f>IFERROR(AVERAGEIFS(Assessment!$G$6:$G$179,Assessment!$B$6:$B$179,$C17),"")</f>
        <v/>
      </c>
      <c r="I17" s="74" t="str">
        <f>IFERROR(AVERAGEIFS(Assessment!$H$6:$H$179,Assessment!$B$6:$B$179,$C17,Assessment!$G$6:$G$179,"&gt;=1"),"")</f>
        <v/>
      </c>
      <c r="J17" s="74" t="str">
        <f>IFERROR(AVERAGEIFS(Assessment!$I$6:$I$179,Assessment!$B$6:$B$179,$C17),"")</f>
        <v/>
      </c>
      <c r="K17" s="74" t="str">
        <f>IFERROR(AVERAGEIFS(Assessment!$J$6:$J$179,Assessment!$B$6:$B$179,$C17),"")</f>
        <v/>
      </c>
      <c r="L17" s="57" t="str">
        <f>IF(ISNUMBER(J17),IF(J17&gt;=Engagement!$C$40,"Red",IF(J17&gt;=Engagement!$C$41,"Amber","Green")),"")</f>
        <v/>
      </c>
      <c r="M17" s="98">
        <f>COUNTIFS(Findings!$C$6:$C$156,$C17,Findings!$I$6:$I$156,M$16,Findings!$A$6:$A$156,"&lt;&gt;Example")</f>
        <v>0</v>
      </c>
      <c r="N17" s="98">
        <f>COUNTIFS(Findings!$C$6:$C$156,$C17,Findings!$I$6:$I$156,N$16,Findings!$A$6:$A$156,"&lt;&gt;Example")</f>
        <v>0</v>
      </c>
      <c r="O17" s="98">
        <f>COUNTIFS(Findings!$C$6:$C$156,$C17,Findings!$I$6:$I$156,O$16,Findings!$A$6:$A$156,"&lt;&gt;Example")</f>
        <v>0</v>
      </c>
      <c r="P17" s="98">
        <f>COUNTIFS(Findings!$C$6:$C$156,$C17,Findings!$I$6:$I$156,P$16,Findings!$A$6:$A$156,"&lt;&gt;Example")</f>
        <v>0</v>
      </c>
      <c r="Q17" s="98">
        <f>COUNTIFS(Recommendations!$B$6:$B$86,$C17,Recommendations!$A$6:$A$86,"&lt;&gt;Example")</f>
        <v>0</v>
      </c>
    </row>
    <row r="18" spans="2:17" ht="18" customHeight="1" x14ac:dyDescent="0.15">
      <c r="B18" s="104" t="s">
        <v>177</v>
      </c>
      <c r="C18" s="96" t="s">
        <v>178</v>
      </c>
      <c r="D18" s="105" t="s">
        <v>2948</v>
      </c>
      <c r="E18" s="57">
        <f>COUNTIFS(Assessment!$B$6:$B$179,$C18)</f>
        <v>9</v>
      </c>
      <c r="F18" s="57">
        <f>COUNTIFS(Assessment!$B$6:$B$179,$C18,Assessment!$G$6:$G$179,"&gt;=1")+COUNTIFS(Assessment!$B$6:$B$179,$C18,Assessment!$G$6:$G$179,"N/A")</f>
        <v>0</v>
      </c>
      <c r="G18" s="73">
        <f t="shared" si="0"/>
        <v>0</v>
      </c>
      <c r="H18" s="74" t="str">
        <f>IFERROR(AVERAGEIFS(Assessment!$G$6:$G$179,Assessment!$B$6:$B$179,$C18),"")</f>
        <v/>
      </c>
      <c r="I18" s="74" t="str">
        <f>IFERROR(AVERAGEIFS(Assessment!$H$6:$H$179,Assessment!$B$6:$B$179,$C18,Assessment!$G$6:$G$179,"&gt;=1"),"")</f>
        <v/>
      </c>
      <c r="J18" s="74" t="str">
        <f>IFERROR(AVERAGEIFS(Assessment!$I$6:$I$179,Assessment!$B$6:$B$179,$C18),"")</f>
        <v/>
      </c>
      <c r="K18" s="74" t="str">
        <f>IFERROR(AVERAGEIFS(Assessment!$J$6:$J$179,Assessment!$B$6:$B$179,$C18),"")</f>
        <v/>
      </c>
      <c r="L18" s="57" t="str">
        <f>IF(ISNUMBER(J18),IF(J18&gt;=Engagement!$C$40,"Red",IF(J18&gt;=Engagement!$C$41,"Amber","Green")),"")</f>
        <v/>
      </c>
      <c r="M18" s="98">
        <f>COUNTIFS(Findings!$C$6:$C$156,$C18,Findings!$I$6:$I$156,M$16,Findings!$A$6:$A$156,"&lt;&gt;Example")</f>
        <v>0</v>
      </c>
      <c r="N18" s="98">
        <f>COUNTIFS(Findings!$C$6:$C$156,$C18,Findings!$I$6:$I$156,N$16,Findings!$A$6:$A$156,"&lt;&gt;Example")</f>
        <v>0</v>
      </c>
      <c r="O18" s="98">
        <f>COUNTIFS(Findings!$C$6:$C$156,$C18,Findings!$I$6:$I$156,O$16,Findings!$A$6:$A$156,"&lt;&gt;Example")</f>
        <v>0</v>
      </c>
      <c r="P18" s="98">
        <f>COUNTIFS(Findings!$C$6:$C$156,$C18,Findings!$I$6:$I$156,P$16,Findings!$A$6:$A$156,"&lt;&gt;Example")</f>
        <v>0</v>
      </c>
      <c r="Q18" s="98">
        <f>COUNTIFS(Recommendations!$B$6:$B$86,$C18,Recommendations!$A$6:$A$86,"&lt;&gt;Example")</f>
        <v>0</v>
      </c>
    </row>
    <row r="19" spans="2:17" ht="18" customHeight="1" x14ac:dyDescent="0.15">
      <c r="B19" s="104" t="s">
        <v>185</v>
      </c>
      <c r="C19" s="96" t="s">
        <v>186</v>
      </c>
      <c r="D19" s="105" t="s">
        <v>186</v>
      </c>
      <c r="E19" s="57">
        <f>COUNTIFS(Assessment!$B$6:$B$179,$C19)</f>
        <v>8</v>
      </c>
      <c r="F19" s="57">
        <f>COUNTIFS(Assessment!$B$6:$B$179,$C19,Assessment!$G$6:$G$179,"&gt;=1")+COUNTIFS(Assessment!$B$6:$B$179,$C19,Assessment!$G$6:$G$179,"N/A")</f>
        <v>0</v>
      </c>
      <c r="G19" s="73">
        <f t="shared" si="0"/>
        <v>0</v>
      </c>
      <c r="H19" s="74" t="str">
        <f>IFERROR(AVERAGEIFS(Assessment!$G$6:$G$179,Assessment!$B$6:$B$179,$C19),"")</f>
        <v/>
      </c>
      <c r="I19" s="74" t="str">
        <f>IFERROR(AVERAGEIFS(Assessment!$H$6:$H$179,Assessment!$B$6:$B$179,$C19,Assessment!$G$6:$G$179,"&gt;=1"),"")</f>
        <v/>
      </c>
      <c r="J19" s="74" t="str">
        <f>IFERROR(AVERAGEIFS(Assessment!$I$6:$I$179,Assessment!$B$6:$B$179,$C19),"")</f>
        <v/>
      </c>
      <c r="K19" s="74" t="str">
        <f>IFERROR(AVERAGEIFS(Assessment!$J$6:$J$179,Assessment!$B$6:$B$179,$C19),"")</f>
        <v/>
      </c>
      <c r="L19" s="57" t="str">
        <f>IF(ISNUMBER(J19),IF(J19&gt;=Engagement!$C$40,"Red",IF(J19&gt;=Engagement!$C$41,"Amber","Green")),"")</f>
        <v/>
      </c>
      <c r="M19" s="98">
        <f>COUNTIFS(Findings!$C$6:$C$156,$C19,Findings!$I$6:$I$156,M$16,Findings!$A$6:$A$156,"&lt;&gt;Example")</f>
        <v>0</v>
      </c>
      <c r="N19" s="98">
        <f>COUNTIFS(Findings!$C$6:$C$156,$C19,Findings!$I$6:$I$156,N$16,Findings!$A$6:$A$156,"&lt;&gt;Example")</f>
        <v>0</v>
      </c>
      <c r="O19" s="98">
        <f>COUNTIFS(Findings!$C$6:$C$156,$C19,Findings!$I$6:$I$156,O$16,Findings!$A$6:$A$156,"&lt;&gt;Example")</f>
        <v>0</v>
      </c>
      <c r="P19" s="98">
        <f>COUNTIFS(Findings!$C$6:$C$156,$C19,Findings!$I$6:$I$156,P$16,Findings!$A$6:$A$156,"&lt;&gt;Example")</f>
        <v>0</v>
      </c>
      <c r="Q19" s="98">
        <f>COUNTIFS(Recommendations!$B$6:$B$86,$C19,Recommendations!$A$6:$A$86,"&lt;&gt;Example")</f>
        <v>0</v>
      </c>
    </row>
    <row r="20" spans="2:17" ht="18" customHeight="1" x14ac:dyDescent="0.15">
      <c r="B20" s="104" t="s">
        <v>193</v>
      </c>
      <c r="C20" s="96" t="s">
        <v>194</v>
      </c>
      <c r="D20" s="105" t="s">
        <v>42</v>
      </c>
      <c r="E20" s="57">
        <f>COUNTIFS(Assessment!$B$6:$B$179,$C20)</f>
        <v>10</v>
      </c>
      <c r="F20" s="57">
        <f>COUNTIFS(Assessment!$B$6:$B$179,$C20,Assessment!$G$6:$G$179,"&gt;=1")+COUNTIFS(Assessment!$B$6:$B$179,$C20,Assessment!$G$6:$G$179,"N/A")</f>
        <v>0</v>
      </c>
      <c r="G20" s="73">
        <f t="shared" si="0"/>
        <v>0</v>
      </c>
      <c r="H20" s="74" t="str">
        <f>IFERROR(AVERAGEIFS(Assessment!$G$6:$G$179,Assessment!$B$6:$B$179,$C20),"")</f>
        <v/>
      </c>
      <c r="I20" s="74" t="str">
        <f>IFERROR(AVERAGEIFS(Assessment!$H$6:$H$179,Assessment!$B$6:$B$179,$C20,Assessment!$G$6:$G$179,"&gt;=1"),"")</f>
        <v/>
      </c>
      <c r="J20" s="74" t="str">
        <f>IFERROR(AVERAGEIFS(Assessment!$I$6:$I$179,Assessment!$B$6:$B$179,$C20),"")</f>
        <v/>
      </c>
      <c r="K20" s="74" t="str">
        <f>IFERROR(AVERAGEIFS(Assessment!$J$6:$J$179,Assessment!$B$6:$B$179,$C20),"")</f>
        <v/>
      </c>
      <c r="L20" s="57" t="str">
        <f>IF(ISNUMBER(J20),IF(J20&gt;=Engagement!$C$40,"Red",IF(J20&gt;=Engagement!$C$41,"Amber","Green")),"")</f>
        <v/>
      </c>
      <c r="M20" s="98">
        <f>COUNTIFS(Findings!$C$6:$C$156,$C20,Findings!$I$6:$I$156,M$16,Findings!$A$6:$A$156,"&lt;&gt;Example")</f>
        <v>0</v>
      </c>
      <c r="N20" s="98">
        <f>COUNTIFS(Findings!$C$6:$C$156,$C20,Findings!$I$6:$I$156,N$16,Findings!$A$6:$A$156,"&lt;&gt;Example")</f>
        <v>0</v>
      </c>
      <c r="O20" s="98">
        <f>COUNTIFS(Findings!$C$6:$C$156,$C20,Findings!$I$6:$I$156,O$16,Findings!$A$6:$A$156,"&lt;&gt;Example")</f>
        <v>0</v>
      </c>
      <c r="P20" s="98">
        <f>COUNTIFS(Findings!$C$6:$C$156,$C20,Findings!$I$6:$I$156,P$16,Findings!$A$6:$A$156,"&lt;&gt;Example")</f>
        <v>0</v>
      </c>
      <c r="Q20" s="98">
        <f>COUNTIFS(Recommendations!$B$6:$B$86,$C20,Recommendations!$A$6:$A$86,"&lt;&gt;Example")</f>
        <v>0</v>
      </c>
    </row>
    <row r="21" spans="2:17" ht="18" customHeight="1" x14ac:dyDescent="0.15">
      <c r="B21" s="104" t="s">
        <v>202</v>
      </c>
      <c r="C21" s="96" t="s">
        <v>203</v>
      </c>
      <c r="D21" s="105" t="s">
        <v>40</v>
      </c>
      <c r="E21" s="57">
        <f>COUNTIFS(Assessment!$B$6:$B$179,$C21)</f>
        <v>8</v>
      </c>
      <c r="F21" s="57">
        <f>COUNTIFS(Assessment!$B$6:$B$179,$C21,Assessment!$G$6:$G$179,"&gt;=1")+COUNTIFS(Assessment!$B$6:$B$179,$C21,Assessment!$G$6:$G$179,"N/A")</f>
        <v>0</v>
      </c>
      <c r="G21" s="73">
        <f t="shared" si="0"/>
        <v>0</v>
      </c>
      <c r="H21" s="74" t="str">
        <f>IFERROR(AVERAGEIFS(Assessment!$G$6:$G$179,Assessment!$B$6:$B$179,$C21),"")</f>
        <v/>
      </c>
      <c r="I21" s="74" t="str">
        <f>IFERROR(AVERAGEIFS(Assessment!$H$6:$H$179,Assessment!$B$6:$B$179,$C21,Assessment!$G$6:$G$179,"&gt;=1"),"")</f>
        <v/>
      </c>
      <c r="J21" s="74" t="str">
        <f>IFERROR(AVERAGEIFS(Assessment!$I$6:$I$179,Assessment!$B$6:$B$179,$C21),"")</f>
        <v/>
      </c>
      <c r="K21" s="74" t="str">
        <f>IFERROR(AVERAGEIFS(Assessment!$J$6:$J$179,Assessment!$B$6:$B$179,$C21),"")</f>
        <v/>
      </c>
      <c r="L21" s="57" t="str">
        <f>IF(ISNUMBER(J21),IF(J21&gt;=Engagement!$C$40,"Red",IF(J21&gt;=Engagement!$C$41,"Amber","Green")),"")</f>
        <v/>
      </c>
      <c r="M21" s="98">
        <f>COUNTIFS(Findings!$C$6:$C$156,$C21,Findings!$I$6:$I$156,M$16,Findings!$A$6:$A$156,"&lt;&gt;Example")</f>
        <v>0</v>
      </c>
      <c r="N21" s="98">
        <f>COUNTIFS(Findings!$C$6:$C$156,$C21,Findings!$I$6:$I$156,N$16,Findings!$A$6:$A$156,"&lt;&gt;Example")</f>
        <v>0</v>
      </c>
      <c r="O21" s="98">
        <f>COUNTIFS(Findings!$C$6:$C$156,$C21,Findings!$I$6:$I$156,O$16,Findings!$A$6:$A$156,"&lt;&gt;Example")</f>
        <v>0</v>
      </c>
      <c r="P21" s="98">
        <f>COUNTIFS(Findings!$C$6:$C$156,$C21,Findings!$I$6:$I$156,P$16,Findings!$A$6:$A$156,"&lt;&gt;Example")</f>
        <v>0</v>
      </c>
      <c r="Q21" s="98">
        <f>COUNTIFS(Recommendations!$B$6:$B$86,$C21,Recommendations!$A$6:$A$86,"&lt;&gt;Example")</f>
        <v>0</v>
      </c>
    </row>
    <row r="22" spans="2:17" ht="18" customHeight="1" x14ac:dyDescent="0.15">
      <c r="B22" s="104" t="s">
        <v>211</v>
      </c>
      <c r="C22" s="96" t="s">
        <v>212</v>
      </c>
      <c r="D22" s="105" t="s">
        <v>217</v>
      </c>
      <c r="E22" s="57">
        <f>COUNTIFS(Assessment!$B$6:$B$179,$C22)</f>
        <v>9</v>
      </c>
      <c r="F22" s="57">
        <f>COUNTIFS(Assessment!$B$6:$B$179,$C22,Assessment!$G$6:$G$179,"&gt;=1")+COUNTIFS(Assessment!$B$6:$B$179,$C22,Assessment!$G$6:$G$179,"N/A")</f>
        <v>0</v>
      </c>
      <c r="G22" s="73">
        <f t="shared" si="0"/>
        <v>0</v>
      </c>
      <c r="H22" s="74" t="str">
        <f>IFERROR(AVERAGEIFS(Assessment!$G$6:$G$179,Assessment!$B$6:$B$179,$C22),"")</f>
        <v/>
      </c>
      <c r="I22" s="74" t="str">
        <f>IFERROR(AVERAGEIFS(Assessment!$H$6:$H$179,Assessment!$B$6:$B$179,$C22,Assessment!$G$6:$G$179,"&gt;=1"),"")</f>
        <v/>
      </c>
      <c r="J22" s="74" t="str">
        <f>IFERROR(AVERAGEIFS(Assessment!$I$6:$I$179,Assessment!$B$6:$B$179,$C22),"")</f>
        <v/>
      </c>
      <c r="K22" s="74" t="str">
        <f>IFERROR(AVERAGEIFS(Assessment!$J$6:$J$179,Assessment!$B$6:$B$179,$C22),"")</f>
        <v/>
      </c>
      <c r="L22" s="57" t="str">
        <f>IF(ISNUMBER(J22),IF(J22&gt;=Engagement!$C$40,"Red",IF(J22&gt;=Engagement!$C$41,"Amber","Green")),"")</f>
        <v/>
      </c>
      <c r="M22" s="98">
        <f>COUNTIFS(Findings!$C$6:$C$156,$C22,Findings!$I$6:$I$156,M$16,Findings!$A$6:$A$156,"&lt;&gt;Example")</f>
        <v>0</v>
      </c>
      <c r="N22" s="98">
        <f>COUNTIFS(Findings!$C$6:$C$156,$C22,Findings!$I$6:$I$156,N$16,Findings!$A$6:$A$156,"&lt;&gt;Example")</f>
        <v>0</v>
      </c>
      <c r="O22" s="98">
        <f>COUNTIFS(Findings!$C$6:$C$156,$C22,Findings!$I$6:$I$156,O$16,Findings!$A$6:$A$156,"&lt;&gt;Example")</f>
        <v>0</v>
      </c>
      <c r="P22" s="98">
        <f>COUNTIFS(Findings!$C$6:$C$156,$C22,Findings!$I$6:$I$156,P$16,Findings!$A$6:$A$156,"&lt;&gt;Example")</f>
        <v>0</v>
      </c>
      <c r="Q22" s="98">
        <f>COUNTIFS(Recommendations!$B$6:$B$86,$C22,Recommendations!$A$6:$A$86,"&lt;&gt;Example")</f>
        <v>0</v>
      </c>
    </row>
    <row r="23" spans="2:17" ht="18" customHeight="1" x14ac:dyDescent="0.15">
      <c r="B23" s="104" t="s">
        <v>220</v>
      </c>
      <c r="C23" s="96" t="s">
        <v>221</v>
      </c>
      <c r="D23" s="105" t="s">
        <v>2949</v>
      </c>
      <c r="E23" s="57">
        <f>COUNTIFS(Assessment!$B$6:$B$179,$C23)</f>
        <v>9</v>
      </c>
      <c r="F23" s="57">
        <f>COUNTIFS(Assessment!$B$6:$B$179,$C23,Assessment!$G$6:$G$179,"&gt;=1")+COUNTIFS(Assessment!$B$6:$B$179,$C23,Assessment!$G$6:$G$179,"N/A")</f>
        <v>0</v>
      </c>
      <c r="G23" s="73">
        <f t="shared" si="0"/>
        <v>0</v>
      </c>
      <c r="H23" s="74" t="str">
        <f>IFERROR(AVERAGEIFS(Assessment!$G$6:$G$179,Assessment!$B$6:$B$179,$C23),"")</f>
        <v/>
      </c>
      <c r="I23" s="74" t="str">
        <f>IFERROR(AVERAGEIFS(Assessment!$H$6:$H$179,Assessment!$B$6:$B$179,$C23,Assessment!$G$6:$G$179,"&gt;=1"),"")</f>
        <v/>
      </c>
      <c r="J23" s="74" t="str">
        <f>IFERROR(AVERAGEIFS(Assessment!$I$6:$I$179,Assessment!$B$6:$B$179,$C23),"")</f>
        <v/>
      </c>
      <c r="K23" s="74" t="str">
        <f>IFERROR(AVERAGEIFS(Assessment!$J$6:$J$179,Assessment!$B$6:$B$179,$C23),"")</f>
        <v/>
      </c>
      <c r="L23" s="57" t="str">
        <f>IF(ISNUMBER(J23),IF(J23&gt;=Engagement!$C$40,"Red",IF(J23&gt;=Engagement!$C$41,"Amber","Green")),"")</f>
        <v/>
      </c>
      <c r="M23" s="98">
        <f>COUNTIFS(Findings!$C$6:$C$156,$C23,Findings!$I$6:$I$156,M$16,Findings!$A$6:$A$156,"&lt;&gt;Example")</f>
        <v>0</v>
      </c>
      <c r="N23" s="98">
        <f>COUNTIFS(Findings!$C$6:$C$156,$C23,Findings!$I$6:$I$156,N$16,Findings!$A$6:$A$156,"&lt;&gt;Example")</f>
        <v>0</v>
      </c>
      <c r="O23" s="98">
        <f>COUNTIFS(Findings!$C$6:$C$156,$C23,Findings!$I$6:$I$156,O$16,Findings!$A$6:$A$156,"&lt;&gt;Example")</f>
        <v>0</v>
      </c>
      <c r="P23" s="98">
        <f>COUNTIFS(Findings!$C$6:$C$156,$C23,Findings!$I$6:$I$156,P$16,Findings!$A$6:$A$156,"&lt;&gt;Example")</f>
        <v>0</v>
      </c>
      <c r="Q23" s="98">
        <f>COUNTIFS(Recommendations!$B$6:$B$86,$C23,Recommendations!$A$6:$A$86,"&lt;&gt;Example")</f>
        <v>0</v>
      </c>
    </row>
    <row r="24" spans="2:17" ht="18" customHeight="1" x14ac:dyDescent="0.15">
      <c r="B24" s="104" t="s">
        <v>230</v>
      </c>
      <c r="C24" s="96" t="s">
        <v>231</v>
      </c>
      <c r="D24" s="105" t="s">
        <v>1995</v>
      </c>
      <c r="E24" s="57">
        <f>COUNTIFS(Assessment!$B$6:$B$179,$C24)</f>
        <v>10</v>
      </c>
      <c r="F24" s="57">
        <f>COUNTIFS(Assessment!$B$6:$B$179,$C24,Assessment!$G$6:$G$179,"&gt;=1")+COUNTIFS(Assessment!$B$6:$B$179,$C24,Assessment!$G$6:$G$179,"N/A")</f>
        <v>0</v>
      </c>
      <c r="G24" s="73">
        <f t="shared" si="0"/>
        <v>0</v>
      </c>
      <c r="H24" s="74" t="str">
        <f>IFERROR(AVERAGEIFS(Assessment!$G$6:$G$179,Assessment!$B$6:$B$179,$C24),"")</f>
        <v/>
      </c>
      <c r="I24" s="74" t="str">
        <f>IFERROR(AVERAGEIFS(Assessment!$H$6:$H$179,Assessment!$B$6:$B$179,$C24,Assessment!$G$6:$G$179,"&gt;=1"),"")</f>
        <v/>
      </c>
      <c r="J24" s="74" t="str">
        <f>IFERROR(AVERAGEIFS(Assessment!$I$6:$I$179,Assessment!$B$6:$B$179,$C24),"")</f>
        <v/>
      </c>
      <c r="K24" s="74" t="str">
        <f>IFERROR(AVERAGEIFS(Assessment!$J$6:$J$179,Assessment!$B$6:$B$179,$C24),"")</f>
        <v/>
      </c>
      <c r="L24" s="57" t="str">
        <f>IF(ISNUMBER(J24),IF(J24&gt;=Engagement!$C$40,"Red",IF(J24&gt;=Engagement!$C$41,"Amber","Green")),"")</f>
        <v/>
      </c>
      <c r="M24" s="98">
        <f>COUNTIFS(Findings!$C$6:$C$156,$C24,Findings!$I$6:$I$156,M$16,Findings!$A$6:$A$156,"&lt;&gt;Example")</f>
        <v>0</v>
      </c>
      <c r="N24" s="98">
        <f>COUNTIFS(Findings!$C$6:$C$156,$C24,Findings!$I$6:$I$156,N$16,Findings!$A$6:$A$156,"&lt;&gt;Example")</f>
        <v>0</v>
      </c>
      <c r="O24" s="98">
        <f>COUNTIFS(Findings!$C$6:$C$156,$C24,Findings!$I$6:$I$156,O$16,Findings!$A$6:$A$156,"&lt;&gt;Example")</f>
        <v>0</v>
      </c>
      <c r="P24" s="98">
        <f>COUNTIFS(Findings!$C$6:$C$156,$C24,Findings!$I$6:$I$156,P$16,Findings!$A$6:$A$156,"&lt;&gt;Example")</f>
        <v>0</v>
      </c>
      <c r="Q24" s="98">
        <f>COUNTIFS(Recommendations!$B$6:$B$86,$C24,Recommendations!$A$6:$A$86,"&lt;&gt;Example")</f>
        <v>0</v>
      </c>
    </row>
    <row r="25" spans="2:17" ht="18" customHeight="1" x14ac:dyDescent="0.15">
      <c r="B25" s="104" t="s">
        <v>239</v>
      </c>
      <c r="C25" s="96" t="s">
        <v>240</v>
      </c>
      <c r="D25" s="105" t="s">
        <v>2950</v>
      </c>
      <c r="E25" s="57">
        <f>COUNTIFS(Assessment!$B$6:$B$179,$C25)</f>
        <v>9</v>
      </c>
      <c r="F25" s="57">
        <f>COUNTIFS(Assessment!$B$6:$B$179,$C25,Assessment!$G$6:$G$179,"&gt;=1")+COUNTIFS(Assessment!$B$6:$B$179,$C25,Assessment!$G$6:$G$179,"N/A")</f>
        <v>0</v>
      </c>
      <c r="G25" s="73">
        <f t="shared" si="0"/>
        <v>0</v>
      </c>
      <c r="H25" s="74" t="str">
        <f>IFERROR(AVERAGEIFS(Assessment!$G$6:$G$179,Assessment!$B$6:$B$179,$C25),"")</f>
        <v/>
      </c>
      <c r="I25" s="74" t="str">
        <f>IFERROR(AVERAGEIFS(Assessment!$H$6:$H$179,Assessment!$B$6:$B$179,$C25,Assessment!$G$6:$G$179,"&gt;=1"),"")</f>
        <v/>
      </c>
      <c r="J25" s="74" t="str">
        <f>IFERROR(AVERAGEIFS(Assessment!$I$6:$I$179,Assessment!$B$6:$B$179,$C25),"")</f>
        <v/>
      </c>
      <c r="K25" s="74" t="str">
        <f>IFERROR(AVERAGEIFS(Assessment!$J$6:$J$179,Assessment!$B$6:$B$179,$C25),"")</f>
        <v/>
      </c>
      <c r="L25" s="57" t="str">
        <f>IF(ISNUMBER(J25),IF(J25&gt;=Engagement!$C$40,"Red",IF(J25&gt;=Engagement!$C$41,"Amber","Green")),"")</f>
        <v/>
      </c>
      <c r="M25" s="98">
        <f>COUNTIFS(Findings!$C$6:$C$156,$C25,Findings!$I$6:$I$156,M$16,Findings!$A$6:$A$156,"&lt;&gt;Example")</f>
        <v>0</v>
      </c>
      <c r="N25" s="98">
        <f>COUNTIFS(Findings!$C$6:$C$156,$C25,Findings!$I$6:$I$156,N$16,Findings!$A$6:$A$156,"&lt;&gt;Example")</f>
        <v>0</v>
      </c>
      <c r="O25" s="98">
        <f>COUNTIFS(Findings!$C$6:$C$156,$C25,Findings!$I$6:$I$156,O$16,Findings!$A$6:$A$156,"&lt;&gt;Example")</f>
        <v>0</v>
      </c>
      <c r="P25" s="98">
        <f>COUNTIFS(Findings!$C$6:$C$156,$C25,Findings!$I$6:$I$156,P$16,Findings!$A$6:$A$156,"&lt;&gt;Example")</f>
        <v>0</v>
      </c>
      <c r="Q25" s="98">
        <f>COUNTIFS(Recommendations!$B$6:$B$86,$C25,Recommendations!$A$6:$A$86,"&lt;&gt;Example")</f>
        <v>0</v>
      </c>
    </row>
    <row r="26" spans="2:17" ht="18" customHeight="1" x14ac:dyDescent="0.15">
      <c r="B26" s="104" t="s">
        <v>248</v>
      </c>
      <c r="C26" s="96" t="s">
        <v>249</v>
      </c>
      <c r="D26" s="105" t="s">
        <v>2951</v>
      </c>
      <c r="E26" s="57">
        <f>COUNTIFS(Assessment!$B$6:$B$179,$C26)</f>
        <v>9</v>
      </c>
      <c r="F26" s="57">
        <f>COUNTIFS(Assessment!$B$6:$B$179,$C26,Assessment!$G$6:$G$179,"&gt;=1")+COUNTIFS(Assessment!$B$6:$B$179,$C26,Assessment!$G$6:$G$179,"N/A")</f>
        <v>0</v>
      </c>
      <c r="G26" s="73">
        <f t="shared" si="0"/>
        <v>0</v>
      </c>
      <c r="H26" s="74" t="str">
        <f>IFERROR(AVERAGEIFS(Assessment!$G$6:$G$179,Assessment!$B$6:$B$179,$C26),"")</f>
        <v/>
      </c>
      <c r="I26" s="74" t="str">
        <f>IFERROR(AVERAGEIFS(Assessment!$H$6:$H$179,Assessment!$B$6:$B$179,$C26,Assessment!$G$6:$G$179,"&gt;=1"),"")</f>
        <v/>
      </c>
      <c r="J26" s="74" t="str">
        <f>IFERROR(AVERAGEIFS(Assessment!$I$6:$I$179,Assessment!$B$6:$B$179,$C26),"")</f>
        <v/>
      </c>
      <c r="K26" s="74" t="str">
        <f>IFERROR(AVERAGEIFS(Assessment!$J$6:$J$179,Assessment!$B$6:$B$179,$C26),"")</f>
        <v/>
      </c>
      <c r="L26" s="57" t="str">
        <f>IF(ISNUMBER(J26),IF(J26&gt;=Engagement!$C$40,"Red",IF(J26&gt;=Engagement!$C$41,"Amber","Green")),"")</f>
        <v/>
      </c>
      <c r="M26" s="98">
        <f>COUNTIFS(Findings!$C$6:$C$156,$C26,Findings!$I$6:$I$156,M$16,Findings!$A$6:$A$156,"&lt;&gt;Example")</f>
        <v>0</v>
      </c>
      <c r="N26" s="98">
        <f>COUNTIFS(Findings!$C$6:$C$156,$C26,Findings!$I$6:$I$156,N$16,Findings!$A$6:$A$156,"&lt;&gt;Example")</f>
        <v>0</v>
      </c>
      <c r="O26" s="98">
        <f>COUNTIFS(Findings!$C$6:$C$156,$C26,Findings!$I$6:$I$156,O$16,Findings!$A$6:$A$156,"&lt;&gt;Example")</f>
        <v>0</v>
      </c>
      <c r="P26" s="98">
        <f>COUNTIFS(Findings!$C$6:$C$156,$C26,Findings!$I$6:$I$156,P$16,Findings!$A$6:$A$156,"&lt;&gt;Example")</f>
        <v>0</v>
      </c>
      <c r="Q26" s="98">
        <f>COUNTIFS(Recommendations!$B$6:$B$86,$C26,Recommendations!$A$6:$A$86,"&lt;&gt;Example")</f>
        <v>0</v>
      </c>
    </row>
    <row r="27" spans="2:17" ht="18" customHeight="1" x14ac:dyDescent="0.15">
      <c r="B27" s="104" t="s">
        <v>256</v>
      </c>
      <c r="C27" s="96" t="s">
        <v>257</v>
      </c>
      <c r="D27" s="105" t="s">
        <v>2013</v>
      </c>
      <c r="E27" s="57">
        <f>COUNTIFS(Assessment!$B$6:$B$179,$C27)</f>
        <v>11</v>
      </c>
      <c r="F27" s="57">
        <f>COUNTIFS(Assessment!$B$6:$B$179,$C27,Assessment!$G$6:$G$179,"&gt;=1")+COUNTIFS(Assessment!$B$6:$B$179,$C27,Assessment!$G$6:$G$179,"N/A")</f>
        <v>0</v>
      </c>
      <c r="G27" s="73">
        <f t="shared" si="0"/>
        <v>0</v>
      </c>
      <c r="H27" s="74" t="str">
        <f>IFERROR(AVERAGEIFS(Assessment!$G$6:$G$179,Assessment!$B$6:$B$179,$C27),"")</f>
        <v/>
      </c>
      <c r="I27" s="74" t="str">
        <f>IFERROR(AVERAGEIFS(Assessment!$H$6:$H$179,Assessment!$B$6:$B$179,$C27,Assessment!$G$6:$G$179,"&gt;=1"),"")</f>
        <v/>
      </c>
      <c r="J27" s="74" t="str">
        <f>IFERROR(AVERAGEIFS(Assessment!$I$6:$I$179,Assessment!$B$6:$B$179,$C27),"")</f>
        <v/>
      </c>
      <c r="K27" s="74" t="str">
        <f>IFERROR(AVERAGEIFS(Assessment!$J$6:$J$179,Assessment!$B$6:$B$179,$C27),"")</f>
        <v/>
      </c>
      <c r="L27" s="57" t="str">
        <f>IF(ISNUMBER(J27),IF(J27&gt;=Engagement!$C$40,"Red",IF(J27&gt;=Engagement!$C$41,"Amber","Green")),"")</f>
        <v/>
      </c>
      <c r="M27" s="98">
        <f>COUNTIFS(Findings!$C$6:$C$156,$C27,Findings!$I$6:$I$156,M$16,Findings!$A$6:$A$156,"&lt;&gt;Example")</f>
        <v>0</v>
      </c>
      <c r="N27" s="98">
        <f>COUNTIFS(Findings!$C$6:$C$156,$C27,Findings!$I$6:$I$156,N$16,Findings!$A$6:$A$156,"&lt;&gt;Example")</f>
        <v>0</v>
      </c>
      <c r="O27" s="98">
        <f>COUNTIFS(Findings!$C$6:$C$156,$C27,Findings!$I$6:$I$156,O$16,Findings!$A$6:$A$156,"&lt;&gt;Example")</f>
        <v>0</v>
      </c>
      <c r="P27" s="98">
        <f>COUNTIFS(Findings!$C$6:$C$156,$C27,Findings!$I$6:$I$156,P$16,Findings!$A$6:$A$156,"&lt;&gt;Example")</f>
        <v>0</v>
      </c>
      <c r="Q27" s="98">
        <f>COUNTIFS(Recommendations!$B$6:$B$86,$C27,Recommendations!$A$6:$A$86,"&lt;&gt;Example")</f>
        <v>0</v>
      </c>
    </row>
    <row r="28" spans="2:17" ht="18" customHeight="1" x14ac:dyDescent="0.15">
      <c r="B28" s="104" t="s">
        <v>264</v>
      </c>
      <c r="C28" s="96" t="s">
        <v>265</v>
      </c>
      <c r="D28" s="105" t="s">
        <v>2952</v>
      </c>
      <c r="E28" s="57">
        <f>COUNTIFS(Assessment!$B$6:$B$179,$C28)</f>
        <v>9</v>
      </c>
      <c r="F28" s="57">
        <f>COUNTIFS(Assessment!$B$6:$B$179,$C28,Assessment!$G$6:$G$179,"&gt;=1")+COUNTIFS(Assessment!$B$6:$B$179,$C28,Assessment!$G$6:$G$179,"N/A")</f>
        <v>0</v>
      </c>
      <c r="G28" s="73">
        <f t="shared" si="0"/>
        <v>0</v>
      </c>
      <c r="H28" s="74" t="str">
        <f>IFERROR(AVERAGEIFS(Assessment!$G$6:$G$179,Assessment!$B$6:$B$179,$C28),"")</f>
        <v/>
      </c>
      <c r="I28" s="74" t="str">
        <f>IFERROR(AVERAGEIFS(Assessment!$H$6:$H$179,Assessment!$B$6:$B$179,$C28,Assessment!$G$6:$G$179,"&gt;=1"),"")</f>
        <v/>
      </c>
      <c r="J28" s="74" t="str">
        <f>IFERROR(AVERAGEIFS(Assessment!$I$6:$I$179,Assessment!$B$6:$B$179,$C28),"")</f>
        <v/>
      </c>
      <c r="K28" s="74" t="str">
        <f>IFERROR(AVERAGEIFS(Assessment!$J$6:$J$179,Assessment!$B$6:$B$179,$C28),"")</f>
        <v/>
      </c>
      <c r="L28" s="57" t="str">
        <f>IF(ISNUMBER(J28),IF(J28&gt;=Engagement!$C$40,"Red",IF(J28&gt;=Engagement!$C$41,"Amber","Green")),"")</f>
        <v/>
      </c>
      <c r="M28" s="98">
        <f>COUNTIFS(Findings!$C$6:$C$156,$C28,Findings!$I$6:$I$156,M$16,Findings!$A$6:$A$156,"&lt;&gt;Example")</f>
        <v>0</v>
      </c>
      <c r="N28" s="98">
        <f>COUNTIFS(Findings!$C$6:$C$156,$C28,Findings!$I$6:$I$156,N$16,Findings!$A$6:$A$156,"&lt;&gt;Example")</f>
        <v>0</v>
      </c>
      <c r="O28" s="98">
        <f>COUNTIFS(Findings!$C$6:$C$156,$C28,Findings!$I$6:$I$156,O$16,Findings!$A$6:$A$156,"&lt;&gt;Example")</f>
        <v>0</v>
      </c>
      <c r="P28" s="98">
        <f>COUNTIFS(Findings!$C$6:$C$156,$C28,Findings!$I$6:$I$156,P$16,Findings!$A$6:$A$156,"&lt;&gt;Example")</f>
        <v>0</v>
      </c>
      <c r="Q28" s="98">
        <f>COUNTIFS(Recommendations!$B$6:$B$86,$C28,Recommendations!$A$6:$A$86,"&lt;&gt;Example")</f>
        <v>0</v>
      </c>
    </row>
    <row r="29" spans="2:17" ht="18" customHeight="1" x14ac:dyDescent="0.15">
      <c r="B29" s="104" t="s">
        <v>272</v>
      </c>
      <c r="C29" s="96" t="s">
        <v>273</v>
      </c>
      <c r="D29" s="105" t="s">
        <v>50</v>
      </c>
      <c r="E29" s="57">
        <f>COUNTIFS(Assessment!$B$6:$B$179,$C29)</f>
        <v>8</v>
      </c>
      <c r="F29" s="57">
        <f>COUNTIFS(Assessment!$B$6:$B$179,$C29,Assessment!$G$6:$G$179,"&gt;=1")+COUNTIFS(Assessment!$B$6:$B$179,$C29,Assessment!$G$6:$G$179,"N/A")</f>
        <v>0</v>
      </c>
      <c r="G29" s="73">
        <f t="shared" si="0"/>
        <v>0</v>
      </c>
      <c r="H29" s="74" t="str">
        <f>IFERROR(AVERAGEIFS(Assessment!$G$6:$G$179,Assessment!$B$6:$B$179,$C29),"")</f>
        <v/>
      </c>
      <c r="I29" s="74" t="str">
        <f>IFERROR(AVERAGEIFS(Assessment!$H$6:$H$179,Assessment!$B$6:$B$179,$C29,Assessment!$G$6:$G$179,"&gt;=1"),"")</f>
        <v/>
      </c>
      <c r="J29" s="74" t="str">
        <f>IFERROR(AVERAGEIFS(Assessment!$I$6:$I$179,Assessment!$B$6:$B$179,$C29),"")</f>
        <v/>
      </c>
      <c r="K29" s="74" t="str">
        <f>IFERROR(AVERAGEIFS(Assessment!$J$6:$J$179,Assessment!$B$6:$B$179,$C29),"")</f>
        <v/>
      </c>
      <c r="L29" s="57" t="str">
        <f>IF(ISNUMBER(J29),IF(J29&gt;=Engagement!$C$40,"Red",IF(J29&gt;=Engagement!$C$41,"Amber","Green")),"")</f>
        <v/>
      </c>
      <c r="M29" s="98">
        <f>COUNTIFS(Findings!$C$6:$C$156,$C29,Findings!$I$6:$I$156,M$16,Findings!$A$6:$A$156,"&lt;&gt;Example")</f>
        <v>0</v>
      </c>
      <c r="N29" s="98">
        <f>COUNTIFS(Findings!$C$6:$C$156,$C29,Findings!$I$6:$I$156,N$16,Findings!$A$6:$A$156,"&lt;&gt;Example")</f>
        <v>0</v>
      </c>
      <c r="O29" s="98">
        <f>COUNTIFS(Findings!$C$6:$C$156,$C29,Findings!$I$6:$I$156,O$16,Findings!$A$6:$A$156,"&lt;&gt;Example")</f>
        <v>0</v>
      </c>
      <c r="P29" s="98">
        <f>COUNTIFS(Findings!$C$6:$C$156,$C29,Findings!$I$6:$I$156,P$16,Findings!$A$6:$A$156,"&lt;&gt;Example")</f>
        <v>0</v>
      </c>
      <c r="Q29" s="98">
        <f>COUNTIFS(Recommendations!$B$6:$B$86,$C29,Recommendations!$A$6:$A$86,"&lt;&gt;Example")</f>
        <v>0</v>
      </c>
    </row>
    <row r="30" spans="2:17" ht="18" customHeight="1" x14ac:dyDescent="0.15">
      <c r="B30" s="104" t="s">
        <v>280</v>
      </c>
      <c r="C30" s="96" t="s">
        <v>281</v>
      </c>
      <c r="D30" s="105" t="s">
        <v>52</v>
      </c>
      <c r="E30" s="57">
        <f>COUNTIFS(Assessment!$B$6:$B$179,$C30)</f>
        <v>8</v>
      </c>
      <c r="F30" s="57">
        <f>COUNTIFS(Assessment!$B$6:$B$179,$C30,Assessment!$G$6:$G$179,"&gt;=1")+COUNTIFS(Assessment!$B$6:$B$179,$C30,Assessment!$G$6:$G$179,"N/A")</f>
        <v>0</v>
      </c>
      <c r="G30" s="73">
        <f t="shared" si="0"/>
        <v>0</v>
      </c>
      <c r="H30" s="74" t="str">
        <f>IFERROR(AVERAGEIFS(Assessment!$G$6:$G$179,Assessment!$B$6:$B$179,$C30),"")</f>
        <v/>
      </c>
      <c r="I30" s="74" t="str">
        <f>IFERROR(AVERAGEIFS(Assessment!$H$6:$H$179,Assessment!$B$6:$B$179,$C30,Assessment!$G$6:$G$179,"&gt;=1"),"")</f>
        <v/>
      </c>
      <c r="J30" s="74" t="str">
        <f>IFERROR(AVERAGEIFS(Assessment!$I$6:$I$179,Assessment!$B$6:$B$179,$C30),"")</f>
        <v/>
      </c>
      <c r="K30" s="74" t="str">
        <f>IFERROR(AVERAGEIFS(Assessment!$J$6:$J$179,Assessment!$B$6:$B$179,$C30),"")</f>
        <v/>
      </c>
      <c r="L30" s="57" t="str">
        <f>IF(ISNUMBER(J30),IF(J30&gt;=Engagement!$C$40,"Red",IF(J30&gt;=Engagement!$C$41,"Amber","Green")),"")</f>
        <v/>
      </c>
      <c r="M30" s="98">
        <f>COUNTIFS(Findings!$C$6:$C$156,$C30,Findings!$I$6:$I$156,M$16,Findings!$A$6:$A$156,"&lt;&gt;Example")</f>
        <v>0</v>
      </c>
      <c r="N30" s="98">
        <f>COUNTIFS(Findings!$C$6:$C$156,$C30,Findings!$I$6:$I$156,N$16,Findings!$A$6:$A$156,"&lt;&gt;Example")</f>
        <v>0</v>
      </c>
      <c r="O30" s="98">
        <f>COUNTIFS(Findings!$C$6:$C$156,$C30,Findings!$I$6:$I$156,O$16,Findings!$A$6:$A$156,"&lt;&gt;Example")</f>
        <v>0</v>
      </c>
      <c r="P30" s="98">
        <f>COUNTIFS(Findings!$C$6:$C$156,$C30,Findings!$I$6:$I$156,P$16,Findings!$A$6:$A$156,"&lt;&gt;Example")</f>
        <v>0</v>
      </c>
      <c r="Q30" s="98">
        <f>COUNTIFS(Recommendations!$B$6:$B$86,$C30,Recommendations!$A$6:$A$86,"&lt;&gt;Example")</f>
        <v>0</v>
      </c>
    </row>
    <row r="31" spans="2:17" ht="18" customHeight="1" x14ac:dyDescent="0.15">
      <c r="B31" s="104" t="s">
        <v>287</v>
      </c>
      <c r="C31" s="96" t="s">
        <v>288</v>
      </c>
      <c r="D31" s="105" t="s">
        <v>784</v>
      </c>
      <c r="E31" s="57">
        <f>COUNTIFS(Assessment!$B$6:$B$179,$C31)</f>
        <v>12</v>
      </c>
      <c r="F31" s="57">
        <f>COUNTIFS(Assessment!$B$6:$B$179,$C31,Assessment!$G$6:$G$179,"&gt;=1")+COUNTIFS(Assessment!$B$6:$B$179,$C31,Assessment!$G$6:$G$179,"N/A")</f>
        <v>0</v>
      </c>
      <c r="G31" s="73">
        <f t="shared" si="0"/>
        <v>0</v>
      </c>
      <c r="H31" s="74" t="str">
        <f>IFERROR(AVERAGEIFS(Assessment!$G$6:$G$179,Assessment!$B$6:$B$179,$C31),"")</f>
        <v/>
      </c>
      <c r="I31" s="74" t="str">
        <f>IFERROR(AVERAGEIFS(Assessment!$H$6:$H$179,Assessment!$B$6:$B$179,$C31,Assessment!$G$6:$G$179,"&gt;=1"),"")</f>
        <v/>
      </c>
      <c r="J31" s="74" t="str">
        <f>IFERROR(AVERAGEIFS(Assessment!$I$6:$I$179,Assessment!$B$6:$B$179,$C31),"")</f>
        <v/>
      </c>
      <c r="K31" s="74" t="str">
        <f>IFERROR(AVERAGEIFS(Assessment!$J$6:$J$179,Assessment!$B$6:$B$179,$C31),"")</f>
        <v/>
      </c>
      <c r="L31" s="57" t="str">
        <f>IF(ISNUMBER(J31),IF(J31&gt;=Engagement!$C$40,"Red",IF(J31&gt;=Engagement!$C$41,"Amber","Green")),"")</f>
        <v/>
      </c>
      <c r="M31" s="98">
        <f>COUNTIFS(Findings!$C$6:$C$156,$C31,Findings!$I$6:$I$156,M$16,Findings!$A$6:$A$156,"&lt;&gt;Example")</f>
        <v>0</v>
      </c>
      <c r="N31" s="98">
        <f>COUNTIFS(Findings!$C$6:$C$156,$C31,Findings!$I$6:$I$156,N$16,Findings!$A$6:$A$156,"&lt;&gt;Example")</f>
        <v>0</v>
      </c>
      <c r="O31" s="98">
        <f>COUNTIFS(Findings!$C$6:$C$156,$C31,Findings!$I$6:$I$156,O$16,Findings!$A$6:$A$156,"&lt;&gt;Example")</f>
        <v>0</v>
      </c>
      <c r="P31" s="98">
        <f>COUNTIFS(Findings!$C$6:$C$156,$C31,Findings!$I$6:$I$156,P$16,Findings!$A$6:$A$156,"&lt;&gt;Example")</f>
        <v>0</v>
      </c>
      <c r="Q31" s="98">
        <f>COUNTIFS(Recommendations!$B$6:$B$86,$C31,Recommendations!$A$6:$A$86,"&lt;&gt;Example")</f>
        <v>0</v>
      </c>
    </row>
    <row r="32" spans="2:17" ht="18" customHeight="1" x14ac:dyDescent="0.15">
      <c r="B32" s="104" t="s">
        <v>294</v>
      </c>
      <c r="C32" s="96" t="s">
        <v>295</v>
      </c>
      <c r="D32" s="105" t="s">
        <v>751</v>
      </c>
      <c r="E32" s="57">
        <f>COUNTIFS(Assessment!$B$6:$B$179,$C32)</f>
        <v>9</v>
      </c>
      <c r="F32" s="57">
        <f>COUNTIFS(Assessment!$B$6:$B$179,$C32,Assessment!$G$6:$G$179,"&gt;=1")+COUNTIFS(Assessment!$B$6:$B$179,$C32,Assessment!$G$6:$G$179,"N/A")</f>
        <v>0</v>
      </c>
      <c r="G32" s="73">
        <f t="shared" si="0"/>
        <v>0</v>
      </c>
      <c r="H32" s="74" t="str">
        <f>IFERROR(AVERAGEIFS(Assessment!$G$6:$G$179,Assessment!$B$6:$B$179,$C32),"")</f>
        <v/>
      </c>
      <c r="I32" s="74" t="str">
        <f>IFERROR(AVERAGEIFS(Assessment!$H$6:$H$179,Assessment!$B$6:$B$179,$C32,Assessment!$G$6:$G$179,"&gt;=1"),"")</f>
        <v/>
      </c>
      <c r="J32" s="74" t="str">
        <f>IFERROR(AVERAGEIFS(Assessment!$I$6:$I$179,Assessment!$B$6:$B$179,$C32),"")</f>
        <v/>
      </c>
      <c r="K32" s="74" t="str">
        <f>IFERROR(AVERAGEIFS(Assessment!$J$6:$J$179,Assessment!$B$6:$B$179,$C32),"")</f>
        <v/>
      </c>
      <c r="L32" s="57" t="str">
        <f>IF(ISNUMBER(J32),IF(J32&gt;=Engagement!$C$40,"Red",IF(J32&gt;=Engagement!$C$41,"Amber","Green")),"")</f>
        <v/>
      </c>
      <c r="M32" s="98">
        <f>COUNTIFS(Findings!$C$6:$C$156,$C32,Findings!$I$6:$I$156,M$16,Findings!$A$6:$A$156,"&lt;&gt;Example")</f>
        <v>0</v>
      </c>
      <c r="N32" s="98">
        <f>COUNTIFS(Findings!$C$6:$C$156,$C32,Findings!$I$6:$I$156,N$16,Findings!$A$6:$A$156,"&lt;&gt;Example")</f>
        <v>0</v>
      </c>
      <c r="O32" s="98">
        <f>COUNTIFS(Findings!$C$6:$C$156,$C32,Findings!$I$6:$I$156,O$16,Findings!$A$6:$A$156,"&lt;&gt;Example")</f>
        <v>0</v>
      </c>
      <c r="P32" s="98">
        <f>COUNTIFS(Findings!$C$6:$C$156,$C32,Findings!$I$6:$I$156,P$16,Findings!$A$6:$A$156,"&lt;&gt;Example")</f>
        <v>0</v>
      </c>
      <c r="Q32" s="98">
        <f>COUNTIFS(Recommendations!$B$6:$B$86,$C32,Recommendations!$A$6:$A$86,"&lt;&gt;Example")</f>
        <v>0</v>
      </c>
    </row>
    <row r="33" spans="2:17" ht="18" customHeight="1" x14ac:dyDescent="0.15">
      <c r="B33" s="104" t="s">
        <v>301</v>
      </c>
      <c r="C33" s="96" t="s">
        <v>302</v>
      </c>
      <c r="D33" s="105" t="s">
        <v>2953</v>
      </c>
      <c r="E33" s="57">
        <f>COUNTIFS(Assessment!$B$6:$B$179,$C33)</f>
        <v>10</v>
      </c>
      <c r="F33" s="57">
        <f>COUNTIFS(Assessment!$B$6:$B$179,$C33,Assessment!$G$6:$G$179,"&gt;=1")+COUNTIFS(Assessment!$B$6:$B$179,$C33,Assessment!$G$6:$G$179,"N/A")</f>
        <v>0</v>
      </c>
      <c r="G33" s="73">
        <f t="shared" si="0"/>
        <v>0</v>
      </c>
      <c r="H33" s="74" t="str">
        <f>IFERROR(AVERAGEIFS(Assessment!$G$6:$G$179,Assessment!$B$6:$B$179,$C33),"")</f>
        <v/>
      </c>
      <c r="I33" s="74" t="str">
        <f>IFERROR(AVERAGEIFS(Assessment!$H$6:$H$179,Assessment!$B$6:$B$179,$C33,Assessment!$G$6:$G$179,"&gt;=1"),"")</f>
        <v/>
      </c>
      <c r="J33" s="74" t="str">
        <f>IFERROR(AVERAGEIFS(Assessment!$I$6:$I$179,Assessment!$B$6:$B$179,$C33),"")</f>
        <v/>
      </c>
      <c r="K33" s="74" t="str">
        <f>IFERROR(AVERAGEIFS(Assessment!$J$6:$J$179,Assessment!$B$6:$B$179,$C33),"")</f>
        <v/>
      </c>
      <c r="L33" s="57" t="str">
        <f>IF(ISNUMBER(J33),IF(J33&gt;=Engagement!$C$40,"Red",IF(J33&gt;=Engagement!$C$41,"Amber","Green")),"")</f>
        <v/>
      </c>
      <c r="M33" s="98">
        <f>COUNTIFS(Findings!$C$6:$C$156,$C33,Findings!$I$6:$I$156,M$16,Findings!$A$6:$A$156,"&lt;&gt;Example")</f>
        <v>0</v>
      </c>
      <c r="N33" s="98">
        <f>COUNTIFS(Findings!$C$6:$C$156,$C33,Findings!$I$6:$I$156,N$16,Findings!$A$6:$A$156,"&lt;&gt;Example")</f>
        <v>0</v>
      </c>
      <c r="O33" s="98">
        <f>COUNTIFS(Findings!$C$6:$C$156,$C33,Findings!$I$6:$I$156,O$16,Findings!$A$6:$A$156,"&lt;&gt;Example")</f>
        <v>0</v>
      </c>
      <c r="P33" s="98">
        <f>COUNTIFS(Findings!$C$6:$C$156,$C33,Findings!$I$6:$I$156,P$16,Findings!$A$6:$A$156,"&lt;&gt;Example")</f>
        <v>0</v>
      </c>
      <c r="Q33" s="98">
        <f>COUNTIFS(Recommendations!$B$6:$B$86,$C33,Recommendations!$A$6:$A$86,"&lt;&gt;Example")</f>
        <v>0</v>
      </c>
    </row>
    <row r="34" spans="2:17" ht="14" x14ac:dyDescent="0.15">
      <c r="B34" s="104" t="s">
        <v>334</v>
      </c>
      <c r="C34" s="26" t="s">
        <v>2954</v>
      </c>
      <c r="D34" s="19"/>
      <c r="E34" s="106">
        <f>SUM(E17:E33)</f>
        <v>157</v>
      </c>
      <c r="F34" s="106">
        <f>SUM(F17:F33)</f>
        <v>0</v>
      </c>
      <c r="G34" s="78">
        <f t="shared" si="0"/>
        <v>0</v>
      </c>
      <c r="H34" s="81" t="str">
        <f>D6</f>
        <v/>
      </c>
      <c r="I34" s="81" t="str">
        <f>D7</f>
        <v/>
      </c>
      <c r="J34" s="81" t="str">
        <f>D8</f>
        <v/>
      </c>
      <c r="K34" s="81" t="str">
        <f>IFERROR(AVERAGE(Assessment!$J$6:$J$179),"")</f>
        <v/>
      </c>
      <c r="L34" s="106" t="str">
        <f>D9</f>
        <v/>
      </c>
      <c r="M34" s="99">
        <f>SUM(M17:M33)</f>
        <v>0</v>
      </c>
      <c r="N34" s="99">
        <f>SUM(N17:N33)</f>
        <v>0</v>
      </c>
      <c r="O34" s="99">
        <f>SUM(O17:O33)</f>
        <v>0</v>
      </c>
      <c r="P34" s="99">
        <f>SUM(P17:P33)</f>
        <v>0</v>
      </c>
      <c r="Q34" s="99">
        <f>SUM(Q17:Q33)</f>
        <v>0</v>
      </c>
    </row>
    <row r="36" spans="2:17" ht="19.5" customHeight="1" x14ac:dyDescent="0.2">
      <c r="B36" s="16" t="s">
        <v>2955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</row>
  </sheetData>
  <mergeCells count="14">
    <mergeCell ref="B12:C12"/>
    <mergeCell ref="B13:C13"/>
    <mergeCell ref="B9:C9"/>
    <mergeCell ref="F9:G9"/>
    <mergeCell ref="B10:C10"/>
    <mergeCell ref="F10:G10"/>
    <mergeCell ref="B11:C11"/>
    <mergeCell ref="F11:G11"/>
    <mergeCell ref="B6:C6"/>
    <mergeCell ref="F6:G6"/>
    <mergeCell ref="B7:C7"/>
    <mergeCell ref="F7:G7"/>
    <mergeCell ref="B8:C8"/>
    <mergeCell ref="F8:G8"/>
  </mergeCells>
  <conditionalFormatting sqref="D9">
    <cfRule type="cellIs" dxfId="14" priority="2" operator="equal">
      <formula>"Red"</formula>
    </cfRule>
    <cfRule type="cellIs" dxfId="13" priority="3" operator="equal">
      <formula>"Amber"</formula>
    </cfRule>
    <cfRule type="cellIs" dxfId="12" priority="4" operator="equal">
      <formula>"Green"</formula>
    </cfRule>
  </conditionalFormatting>
  <conditionalFormatting sqref="G17:G33">
    <cfRule type="dataBar" priority="10">
      <dataBar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{4FA3BA89-AF70-4FA6-A6BE-A790D0E2A495}</x14:id>
        </ext>
      </extLst>
    </cfRule>
  </conditionalFormatting>
  <conditionalFormatting sqref="H17:H34">
    <cfRule type="colorScale" priority="8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J17:J34">
    <cfRule type="colorScale" priority="9">
      <colorScale>
        <cfvo type="num" val="0"/>
        <cfvo type="num" val="1"/>
        <cfvo type="num" val="2"/>
        <color rgb="FF63BE7B"/>
        <color rgb="FFFFEB84"/>
        <color rgb="FFF8696B"/>
      </colorScale>
    </cfRule>
  </conditionalFormatting>
  <conditionalFormatting sqref="L17:L34">
    <cfRule type="cellIs" dxfId="11" priority="5" operator="equal">
      <formula>"Red"</formula>
    </cfRule>
    <cfRule type="cellIs" dxfId="10" priority="6" operator="equal">
      <formula>"Amber"</formula>
    </cfRule>
    <cfRule type="cellIs" dxfId="9" priority="7" operator="equal">
      <formula>"Green"</formula>
    </cfRule>
  </conditionalFormatting>
  <conditionalFormatting sqref="M17:M34">
    <cfRule type="cellIs" dxfId="8" priority="11" operator="greaterThan">
      <formula>0</formula>
    </cfRule>
  </conditionalFormatting>
  <conditionalFormatting sqref="N17:N34">
    <cfRule type="cellIs" dxfId="7" priority="12" operator="greaterThan">
      <formula>0</formula>
    </cfRule>
  </conditionalFormatting>
  <pageMargins left="0.4" right="0.4" top="0.5" bottom="0.5" header="0.511811023622047" footer="0.5"/>
  <pageSetup paperSize="9" fitToHeight="0" orientation="landscape" horizontalDpi="300" verticalDpi="300"/>
  <headerFooter>
    <oddFooter>&amp;L&amp;8 CTO Consulting | Operating Model Assessment Toolkit&amp;R&amp;8 &amp;A | Page &amp;P of &amp;N</oddFooter>
  </headerFooter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A3BA89-AF70-4FA6-A6BE-A790D0E2A495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5B9BD5"/>
            </x14:dataBar>
          </x14:cfRule>
          <xm:sqref>G17:G33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548235"/>
    <pageSetUpPr fitToPage="1"/>
  </sheetPr>
  <dimension ref="A1:L22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8.6640625" defaultRowHeight="13" x14ac:dyDescent="0.15"/>
  <cols>
    <col min="1" max="1" width="7" customWidth="1"/>
    <col min="2" max="2" width="24" customWidth="1"/>
    <col min="3" max="4" width="10" customWidth="1"/>
    <col min="5" max="6" width="9" customWidth="1"/>
    <col min="7" max="9" width="36" customWidth="1"/>
    <col min="10" max="10" width="26" customWidth="1"/>
    <col min="11" max="11" width="28" customWidth="1"/>
    <col min="12" max="12" width="16" customWidth="1"/>
  </cols>
  <sheetData>
    <row r="1" spans="1:12" ht="27.75" customHeight="1" x14ac:dyDescent="0.15">
      <c r="A1" s="33" t="s">
        <v>2956</v>
      </c>
    </row>
    <row r="2" spans="1:12" x14ac:dyDescent="0.15">
      <c r="A2" s="34" t="s">
        <v>2957</v>
      </c>
    </row>
    <row r="3" spans="1:12" x14ac:dyDescent="0.15">
      <c r="A3" s="38" t="s">
        <v>423</v>
      </c>
    </row>
    <row r="5" spans="1:12" ht="36" customHeight="1" x14ac:dyDescent="0.15">
      <c r="A5" s="20" t="s">
        <v>156</v>
      </c>
      <c r="B5" s="20" t="s">
        <v>157</v>
      </c>
      <c r="C5" s="20" t="s">
        <v>2958</v>
      </c>
      <c r="D5" s="20" t="s">
        <v>2959</v>
      </c>
      <c r="E5" s="20" t="s">
        <v>927</v>
      </c>
      <c r="F5" s="20" t="s">
        <v>929</v>
      </c>
      <c r="G5" s="20" t="s">
        <v>2960</v>
      </c>
      <c r="H5" s="20" t="s">
        <v>2961</v>
      </c>
      <c r="I5" s="20" t="s">
        <v>2962</v>
      </c>
      <c r="J5" s="20" t="s">
        <v>2963</v>
      </c>
      <c r="K5" s="20" t="s">
        <v>2964</v>
      </c>
      <c r="L5" s="20" t="s">
        <v>2965</v>
      </c>
    </row>
    <row r="6" spans="1:12" ht="60" customHeight="1" x14ac:dyDescent="0.15">
      <c r="A6" s="104" t="s">
        <v>167</v>
      </c>
      <c r="B6" s="26" t="s">
        <v>168</v>
      </c>
      <c r="C6" s="107" t="str">
        <f>Dashboard!H17</f>
        <v/>
      </c>
      <c r="D6" s="107" t="str">
        <f>Dashboard!I17</f>
        <v/>
      </c>
      <c r="E6" s="107" t="str">
        <f>Dashboard!J17</f>
        <v/>
      </c>
      <c r="F6" s="35" t="str">
        <f>Dashboard!L17</f>
        <v/>
      </c>
      <c r="G6" s="22"/>
      <c r="H6" s="22"/>
      <c r="I6" s="22"/>
      <c r="J6" s="22"/>
      <c r="K6" s="22"/>
      <c r="L6" s="22"/>
    </row>
    <row r="7" spans="1:12" ht="60" customHeight="1" x14ac:dyDescent="0.15">
      <c r="A7" s="104" t="s">
        <v>177</v>
      </c>
      <c r="B7" s="26" t="s">
        <v>178</v>
      </c>
      <c r="C7" s="107" t="str">
        <f>Dashboard!H18</f>
        <v/>
      </c>
      <c r="D7" s="107" t="str">
        <f>Dashboard!I18</f>
        <v/>
      </c>
      <c r="E7" s="107" t="str">
        <f>Dashboard!J18</f>
        <v/>
      </c>
      <c r="F7" s="35" t="str">
        <f>Dashboard!L18</f>
        <v/>
      </c>
      <c r="G7" s="22"/>
      <c r="H7" s="22"/>
      <c r="I7" s="22"/>
      <c r="J7" s="22"/>
      <c r="K7" s="22"/>
      <c r="L7" s="22"/>
    </row>
    <row r="8" spans="1:12" ht="60" customHeight="1" x14ac:dyDescent="0.15">
      <c r="A8" s="104" t="s">
        <v>185</v>
      </c>
      <c r="B8" s="26" t="s">
        <v>186</v>
      </c>
      <c r="C8" s="107" t="str">
        <f>Dashboard!H19</f>
        <v/>
      </c>
      <c r="D8" s="107" t="str">
        <f>Dashboard!I19</f>
        <v/>
      </c>
      <c r="E8" s="107" t="str">
        <f>Dashboard!J19</f>
        <v/>
      </c>
      <c r="F8" s="35" t="str">
        <f>Dashboard!L19</f>
        <v/>
      </c>
      <c r="G8" s="22"/>
      <c r="H8" s="22"/>
      <c r="I8" s="22"/>
      <c r="J8" s="22"/>
      <c r="K8" s="22"/>
      <c r="L8" s="22"/>
    </row>
    <row r="9" spans="1:12" ht="60" customHeight="1" x14ac:dyDescent="0.15">
      <c r="A9" s="104" t="s">
        <v>193</v>
      </c>
      <c r="B9" s="26" t="s">
        <v>194</v>
      </c>
      <c r="C9" s="107" t="str">
        <f>Dashboard!H20</f>
        <v/>
      </c>
      <c r="D9" s="107" t="str">
        <f>Dashboard!I20</f>
        <v/>
      </c>
      <c r="E9" s="107" t="str">
        <f>Dashboard!J20</f>
        <v/>
      </c>
      <c r="F9" s="35" t="str">
        <f>Dashboard!L20</f>
        <v/>
      </c>
      <c r="G9" s="22"/>
      <c r="H9" s="22"/>
      <c r="I9" s="22"/>
      <c r="J9" s="22"/>
      <c r="K9" s="22"/>
      <c r="L9" s="22"/>
    </row>
    <row r="10" spans="1:12" ht="60" customHeight="1" x14ac:dyDescent="0.15">
      <c r="A10" s="104" t="s">
        <v>202</v>
      </c>
      <c r="B10" s="26" t="s">
        <v>203</v>
      </c>
      <c r="C10" s="107" t="str">
        <f>Dashboard!H21</f>
        <v/>
      </c>
      <c r="D10" s="107" t="str">
        <f>Dashboard!I21</f>
        <v/>
      </c>
      <c r="E10" s="107" t="str">
        <f>Dashboard!J21</f>
        <v/>
      </c>
      <c r="F10" s="35" t="str">
        <f>Dashboard!L21</f>
        <v/>
      </c>
      <c r="G10" s="22"/>
      <c r="H10" s="22"/>
      <c r="I10" s="22"/>
      <c r="J10" s="22"/>
      <c r="K10" s="22"/>
      <c r="L10" s="22"/>
    </row>
    <row r="11" spans="1:12" ht="60" customHeight="1" x14ac:dyDescent="0.15">
      <c r="A11" s="104" t="s">
        <v>211</v>
      </c>
      <c r="B11" s="26" t="s">
        <v>212</v>
      </c>
      <c r="C11" s="107" t="str">
        <f>Dashboard!H22</f>
        <v/>
      </c>
      <c r="D11" s="107" t="str">
        <f>Dashboard!I22</f>
        <v/>
      </c>
      <c r="E11" s="107" t="str">
        <f>Dashboard!J22</f>
        <v/>
      </c>
      <c r="F11" s="35" t="str">
        <f>Dashboard!L22</f>
        <v/>
      </c>
      <c r="G11" s="22"/>
      <c r="H11" s="22"/>
      <c r="I11" s="22"/>
      <c r="J11" s="22"/>
      <c r="K11" s="22"/>
      <c r="L11" s="22"/>
    </row>
    <row r="12" spans="1:12" ht="60" customHeight="1" x14ac:dyDescent="0.15">
      <c r="A12" s="104" t="s">
        <v>220</v>
      </c>
      <c r="B12" s="26" t="s">
        <v>221</v>
      </c>
      <c r="C12" s="107" t="str">
        <f>Dashboard!H23</f>
        <v/>
      </c>
      <c r="D12" s="107" t="str">
        <f>Dashboard!I23</f>
        <v/>
      </c>
      <c r="E12" s="107" t="str">
        <f>Dashboard!J23</f>
        <v/>
      </c>
      <c r="F12" s="35" t="str">
        <f>Dashboard!L23</f>
        <v/>
      </c>
      <c r="G12" s="22"/>
      <c r="H12" s="22"/>
      <c r="I12" s="22"/>
      <c r="J12" s="22"/>
      <c r="K12" s="22"/>
      <c r="L12" s="22"/>
    </row>
    <row r="13" spans="1:12" ht="60" customHeight="1" x14ac:dyDescent="0.15">
      <c r="A13" s="104" t="s">
        <v>230</v>
      </c>
      <c r="B13" s="26" t="s">
        <v>231</v>
      </c>
      <c r="C13" s="107" t="str">
        <f>Dashboard!H24</f>
        <v/>
      </c>
      <c r="D13" s="107" t="str">
        <f>Dashboard!I24</f>
        <v/>
      </c>
      <c r="E13" s="107" t="str">
        <f>Dashboard!J24</f>
        <v/>
      </c>
      <c r="F13" s="35" t="str">
        <f>Dashboard!L24</f>
        <v/>
      </c>
      <c r="G13" s="22"/>
      <c r="H13" s="22"/>
      <c r="I13" s="22"/>
      <c r="J13" s="22"/>
      <c r="K13" s="22"/>
      <c r="L13" s="22"/>
    </row>
    <row r="14" spans="1:12" ht="60" customHeight="1" x14ac:dyDescent="0.15">
      <c r="A14" s="104" t="s">
        <v>239</v>
      </c>
      <c r="B14" s="26" t="s">
        <v>240</v>
      </c>
      <c r="C14" s="107" t="str">
        <f>Dashboard!H25</f>
        <v/>
      </c>
      <c r="D14" s="107" t="str">
        <f>Dashboard!I25</f>
        <v/>
      </c>
      <c r="E14" s="107" t="str">
        <f>Dashboard!J25</f>
        <v/>
      </c>
      <c r="F14" s="35" t="str">
        <f>Dashboard!L25</f>
        <v/>
      </c>
      <c r="G14" s="22"/>
      <c r="H14" s="22"/>
      <c r="I14" s="22"/>
      <c r="J14" s="22"/>
      <c r="K14" s="22"/>
      <c r="L14" s="22"/>
    </row>
    <row r="15" spans="1:12" ht="60" customHeight="1" x14ac:dyDescent="0.15">
      <c r="A15" s="104" t="s">
        <v>248</v>
      </c>
      <c r="B15" s="26" t="s">
        <v>249</v>
      </c>
      <c r="C15" s="107" t="str">
        <f>Dashboard!H26</f>
        <v/>
      </c>
      <c r="D15" s="107" t="str">
        <f>Dashboard!I26</f>
        <v/>
      </c>
      <c r="E15" s="107" t="str">
        <f>Dashboard!J26</f>
        <v/>
      </c>
      <c r="F15" s="35" t="str">
        <f>Dashboard!L26</f>
        <v/>
      </c>
      <c r="G15" s="22"/>
      <c r="H15" s="22"/>
      <c r="I15" s="22"/>
      <c r="J15" s="22"/>
      <c r="K15" s="22"/>
      <c r="L15" s="22"/>
    </row>
    <row r="16" spans="1:12" ht="60" customHeight="1" x14ac:dyDescent="0.15">
      <c r="A16" s="104" t="s">
        <v>256</v>
      </c>
      <c r="B16" s="26" t="s">
        <v>257</v>
      </c>
      <c r="C16" s="107" t="str">
        <f>Dashboard!H27</f>
        <v/>
      </c>
      <c r="D16" s="107" t="str">
        <f>Dashboard!I27</f>
        <v/>
      </c>
      <c r="E16" s="107" t="str">
        <f>Dashboard!J27</f>
        <v/>
      </c>
      <c r="F16" s="35" t="str">
        <f>Dashboard!L27</f>
        <v/>
      </c>
      <c r="G16" s="22"/>
      <c r="H16" s="22"/>
      <c r="I16" s="22"/>
      <c r="J16" s="22"/>
      <c r="K16" s="22"/>
      <c r="L16" s="22"/>
    </row>
    <row r="17" spans="1:12" ht="60" customHeight="1" x14ac:dyDescent="0.15">
      <c r="A17" s="104" t="s">
        <v>264</v>
      </c>
      <c r="B17" s="26" t="s">
        <v>265</v>
      </c>
      <c r="C17" s="107" t="str">
        <f>Dashboard!H28</f>
        <v/>
      </c>
      <c r="D17" s="107" t="str">
        <f>Dashboard!I28</f>
        <v/>
      </c>
      <c r="E17" s="107" t="str">
        <f>Dashboard!J28</f>
        <v/>
      </c>
      <c r="F17" s="35" t="str">
        <f>Dashboard!L28</f>
        <v/>
      </c>
      <c r="G17" s="22"/>
      <c r="H17" s="22"/>
      <c r="I17" s="22"/>
      <c r="J17" s="22"/>
      <c r="K17" s="22"/>
      <c r="L17" s="22"/>
    </row>
    <row r="18" spans="1:12" ht="60" customHeight="1" x14ac:dyDescent="0.15">
      <c r="A18" s="104" t="s">
        <v>272</v>
      </c>
      <c r="B18" s="26" t="s">
        <v>273</v>
      </c>
      <c r="C18" s="107" t="str">
        <f>Dashboard!H29</f>
        <v/>
      </c>
      <c r="D18" s="107" t="str">
        <f>Dashboard!I29</f>
        <v/>
      </c>
      <c r="E18" s="107" t="str">
        <f>Dashboard!J29</f>
        <v/>
      </c>
      <c r="F18" s="35" t="str">
        <f>Dashboard!L29</f>
        <v/>
      </c>
      <c r="G18" s="22"/>
      <c r="H18" s="22"/>
      <c r="I18" s="22"/>
      <c r="J18" s="22"/>
      <c r="K18" s="22"/>
      <c r="L18" s="22"/>
    </row>
    <row r="19" spans="1:12" ht="60" customHeight="1" x14ac:dyDescent="0.15">
      <c r="A19" s="104" t="s">
        <v>280</v>
      </c>
      <c r="B19" s="26" t="s">
        <v>281</v>
      </c>
      <c r="C19" s="107" t="str">
        <f>Dashboard!H30</f>
        <v/>
      </c>
      <c r="D19" s="107" t="str">
        <f>Dashboard!I30</f>
        <v/>
      </c>
      <c r="E19" s="107" t="str">
        <f>Dashboard!J30</f>
        <v/>
      </c>
      <c r="F19" s="35" t="str">
        <f>Dashboard!L30</f>
        <v/>
      </c>
      <c r="G19" s="22"/>
      <c r="H19" s="22"/>
      <c r="I19" s="22"/>
      <c r="J19" s="22"/>
      <c r="K19" s="22"/>
      <c r="L19" s="22"/>
    </row>
    <row r="20" spans="1:12" ht="60" customHeight="1" x14ac:dyDescent="0.15">
      <c r="A20" s="104" t="s">
        <v>287</v>
      </c>
      <c r="B20" s="26" t="s">
        <v>288</v>
      </c>
      <c r="C20" s="107" t="str">
        <f>Dashboard!H31</f>
        <v/>
      </c>
      <c r="D20" s="107" t="str">
        <f>Dashboard!I31</f>
        <v/>
      </c>
      <c r="E20" s="107" t="str">
        <f>Dashboard!J31</f>
        <v/>
      </c>
      <c r="F20" s="35" t="str">
        <f>Dashboard!L31</f>
        <v/>
      </c>
      <c r="G20" s="22"/>
      <c r="H20" s="22"/>
      <c r="I20" s="22"/>
      <c r="J20" s="22"/>
      <c r="K20" s="22"/>
      <c r="L20" s="22"/>
    </row>
    <row r="21" spans="1:12" ht="60" customHeight="1" x14ac:dyDescent="0.15">
      <c r="A21" s="104" t="s">
        <v>294</v>
      </c>
      <c r="B21" s="26" t="s">
        <v>295</v>
      </c>
      <c r="C21" s="107" t="str">
        <f>Dashboard!H32</f>
        <v/>
      </c>
      <c r="D21" s="107" t="str">
        <f>Dashboard!I32</f>
        <v/>
      </c>
      <c r="E21" s="107" t="str">
        <f>Dashboard!J32</f>
        <v/>
      </c>
      <c r="F21" s="35" t="str">
        <f>Dashboard!L32</f>
        <v/>
      </c>
      <c r="G21" s="22"/>
      <c r="H21" s="22"/>
      <c r="I21" s="22"/>
      <c r="J21" s="22"/>
      <c r="K21" s="22"/>
      <c r="L21" s="22"/>
    </row>
    <row r="22" spans="1:12" ht="60" customHeight="1" x14ac:dyDescent="0.15">
      <c r="A22" s="104" t="s">
        <v>301</v>
      </c>
      <c r="B22" s="26" t="s">
        <v>302</v>
      </c>
      <c r="C22" s="107" t="str">
        <f>Dashboard!H33</f>
        <v/>
      </c>
      <c r="D22" s="107" t="str">
        <f>Dashboard!I33</f>
        <v/>
      </c>
      <c r="E22" s="107" t="str">
        <f>Dashboard!J33</f>
        <v/>
      </c>
      <c r="F22" s="35" t="str">
        <f>Dashboard!L33</f>
        <v/>
      </c>
      <c r="G22" s="22"/>
      <c r="H22" s="22"/>
      <c r="I22" s="22"/>
      <c r="J22" s="22"/>
      <c r="K22" s="22"/>
      <c r="L22" s="22"/>
    </row>
  </sheetData>
  <conditionalFormatting sqref="C6:C22">
    <cfRule type="colorScale" priority="5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F6:F22">
    <cfRule type="cellIs" dxfId="6" priority="2" operator="equal">
      <formula>"Red"</formula>
    </cfRule>
    <cfRule type="cellIs" dxfId="5" priority="3" operator="equal">
      <formula>"Amber"</formula>
    </cfRule>
    <cfRule type="cellIs" dxfId="4" priority="4" operator="equal">
      <formula>"Green"</formula>
    </cfRule>
  </conditionalFormatting>
  <pageMargins left="0.4" right="0.4" top="0.5" bottom="0.5" header="0.511811023622047" footer="0.5"/>
  <pageSetup paperSize="9" fitToHeight="0" orientation="landscape" horizontalDpi="300" verticalDpi="300"/>
  <headerFooter>
    <oddFooter>&amp;L&amp;8 CTO Consulting | Operating Model Assessment Toolkit&amp;R&amp;8 &amp;A | 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548235"/>
    <pageSetUpPr fitToPage="1"/>
  </sheetPr>
  <dimension ref="A1:O87"/>
  <sheetViews>
    <sheetView showGridLines="0"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baseColWidth="10" defaultColWidth="8.6640625" defaultRowHeight="13" x14ac:dyDescent="0.15"/>
  <cols>
    <col min="1" max="1" width="9" customWidth="1"/>
    <col min="2" max="2" width="34" customWidth="1"/>
    <col min="3" max="3" width="46" customWidth="1"/>
    <col min="4" max="4" width="13" customWidth="1"/>
    <col min="5" max="5" width="32" customWidth="1"/>
    <col min="6" max="7" width="9" customWidth="1"/>
    <col min="8" max="8" width="10" customWidth="1"/>
    <col min="9" max="9" width="17" customWidth="1"/>
    <col min="10" max="11" width="14" customWidth="1"/>
    <col min="12" max="12" width="16" customWidth="1"/>
    <col min="13" max="14" width="24" customWidth="1"/>
    <col min="15" max="15" width="13" customWidth="1"/>
  </cols>
  <sheetData>
    <row r="1" spans="1:15" ht="27.75" customHeight="1" x14ac:dyDescent="0.15">
      <c r="A1" s="33" t="s">
        <v>2966</v>
      </c>
    </row>
    <row r="2" spans="1:15" x14ac:dyDescent="0.15">
      <c r="A2" s="34" t="s">
        <v>2967</v>
      </c>
    </row>
    <row r="3" spans="1:15" x14ac:dyDescent="0.15">
      <c r="A3" s="38" t="s">
        <v>423</v>
      </c>
    </row>
    <row r="5" spans="1:15" ht="39.75" customHeight="1" x14ac:dyDescent="0.15">
      <c r="A5" s="20" t="s">
        <v>424</v>
      </c>
      <c r="B5" s="20" t="s">
        <v>157</v>
      </c>
      <c r="C5" s="20" t="s">
        <v>2968</v>
      </c>
      <c r="D5" s="20" t="s">
        <v>2969</v>
      </c>
      <c r="E5" s="20" t="s">
        <v>2970</v>
      </c>
      <c r="F5" s="20" t="s">
        <v>2971</v>
      </c>
      <c r="G5" s="20" t="s">
        <v>2972</v>
      </c>
      <c r="H5" s="20" t="s">
        <v>1884</v>
      </c>
      <c r="I5" s="20" t="s">
        <v>2922</v>
      </c>
      <c r="J5" s="20" t="s">
        <v>2973</v>
      </c>
      <c r="K5" s="20" t="s">
        <v>2974</v>
      </c>
      <c r="L5" s="20" t="s">
        <v>2975</v>
      </c>
      <c r="M5" s="20" t="s">
        <v>2976</v>
      </c>
      <c r="N5" s="20" t="s">
        <v>2977</v>
      </c>
      <c r="O5" s="20" t="s">
        <v>149</v>
      </c>
    </row>
    <row r="6" spans="1:15" ht="42" x14ac:dyDescent="0.15">
      <c r="A6" s="39" t="s">
        <v>436</v>
      </c>
      <c r="B6" s="25" t="s">
        <v>221</v>
      </c>
      <c r="C6" s="25" t="s">
        <v>2978</v>
      </c>
      <c r="D6" s="40" t="s">
        <v>2979</v>
      </c>
      <c r="E6" s="25" t="s">
        <v>2980</v>
      </c>
      <c r="F6" s="40">
        <v>4</v>
      </c>
      <c r="G6" s="40">
        <v>4</v>
      </c>
      <c r="H6" s="68">
        <f t="shared" ref="H6:H37" si="0">IF(AND(ISNUMBER(F6),ISNUMBER(G6)),F6*G6,"")</f>
        <v>16</v>
      </c>
      <c r="I6" s="68" t="str">
        <f>IF(AND(ISNUMBER(F6),ISNUMBER(G6)),IF(F6&gt;=Engagement!$C$42,IF(G6&gt;=Engagement!$C$42,"Quick win","Strategic initiative"),IF(G6&gt;=Engagement!$C$42,"Fill-in","Deprioritise")),"")</f>
        <v>Quick win</v>
      </c>
      <c r="J6" s="40" t="s">
        <v>2923</v>
      </c>
      <c r="K6" s="69">
        <v>40000</v>
      </c>
      <c r="L6" s="25" t="s">
        <v>1780</v>
      </c>
      <c r="M6" s="25" t="s">
        <v>2981</v>
      </c>
      <c r="N6" s="25" t="s">
        <v>2982</v>
      </c>
      <c r="O6" s="40" t="s">
        <v>153</v>
      </c>
    </row>
    <row r="7" spans="1:15" ht="14" x14ac:dyDescent="0.15">
      <c r="A7" s="43" t="s">
        <v>2983</v>
      </c>
      <c r="B7" s="22"/>
      <c r="C7" s="22"/>
      <c r="D7" s="44"/>
      <c r="E7" s="22"/>
      <c r="F7" s="44"/>
      <c r="G7" s="44"/>
      <c r="H7" s="57" t="str">
        <f t="shared" si="0"/>
        <v/>
      </c>
      <c r="I7" s="57" t="str">
        <f>IF(AND(ISNUMBER(F7),ISNUMBER(G7)),IF(F7&gt;=Engagement!$C$42,IF(G7&gt;=Engagement!$C$42,"Quick win","Strategic initiative"),IF(G7&gt;=Engagement!$C$42,"Fill-in","Deprioritise")),"")</f>
        <v/>
      </c>
      <c r="J7" s="44"/>
      <c r="K7" s="75"/>
      <c r="L7" s="22"/>
      <c r="M7" s="22"/>
      <c r="N7" s="22"/>
      <c r="O7" s="44"/>
    </row>
    <row r="8" spans="1:15" ht="14" x14ac:dyDescent="0.15">
      <c r="A8" s="43" t="s">
        <v>2984</v>
      </c>
      <c r="B8" s="22"/>
      <c r="C8" s="22"/>
      <c r="D8" s="44"/>
      <c r="E8" s="22"/>
      <c r="F8" s="44"/>
      <c r="G8" s="44"/>
      <c r="H8" s="57" t="str">
        <f t="shared" si="0"/>
        <v/>
      </c>
      <c r="I8" s="57" t="str">
        <f>IF(AND(ISNUMBER(F8),ISNUMBER(G8)),IF(F8&gt;=Engagement!$C$42,IF(G8&gt;=Engagement!$C$42,"Quick win","Strategic initiative"),IF(G8&gt;=Engagement!$C$42,"Fill-in","Deprioritise")),"")</f>
        <v/>
      </c>
      <c r="J8" s="44"/>
      <c r="K8" s="75"/>
      <c r="L8" s="22"/>
      <c r="M8" s="22"/>
      <c r="N8" s="22"/>
      <c r="O8" s="44"/>
    </row>
    <row r="9" spans="1:15" ht="14" x14ac:dyDescent="0.15">
      <c r="A9" s="43" t="s">
        <v>2985</v>
      </c>
      <c r="B9" s="22"/>
      <c r="C9" s="22"/>
      <c r="D9" s="44"/>
      <c r="E9" s="22"/>
      <c r="F9" s="44"/>
      <c r="G9" s="44"/>
      <c r="H9" s="57" t="str">
        <f t="shared" si="0"/>
        <v/>
      </c>
      <c r="I9" s="57" t="str">
        <f>IF(AND(ISNUMBER(F9),ISNUMBER(G9)),IF(F9&gt;=Engagement!$C$42,IF(G9&gt;=Engagement!$C$42,"Quick win","Strategic initiative"),IF(G9&gt;=Engagement!$C$42,"Fill-in","Deprioritise")),"")</f>
        <v/>
      </c>
      <c r="J9" s="44"/>
      <c r="K9" s="75"/>
      <c r="L9" s="22"/>
      <c r="M9" s="22"/>
      <c r="N9" s="22"/>
      <c r="O9" s="44"/>
    </row>
    <row r="10" spans="1:15" ht="14" x14ac:dyDescent="0.15">
      <c r="A10" s="43" t="s">
        <v>2986</v>
      </c>
      <c r="B10" s="22"/>
      <c r="C10" s="22"/>
      <c r="D10" s="44"/>
      <c r="E10" s="22"/>
      <c r="F10" s="44"/>
      <c r="G10" s="44"/>
      <c r="H10" s="57" t="str">
        <f t="shared" si="0"/>
        <v/>
      </c>
      <c r="I10" s="57" t="str">
        <f>IF(AND(ISNUMBER(F10),ISNUMBER(G10)),IF(F10&gt;=Engagement!$C$42,IF(G10&gt;=Engagement!$C$42,"Quick win","Strategic initiative"),IF(G10&gt;=Engagement!$C$42,"Fill-in","Deprioritise")),"")</f>
        <v/>
      </c>
      <c r="J10" s="44"/>
      <c r="K10" s="75"/>
      <c r="L10" s="22"/>
      <c r="M10" s="22"/>
      <c r="N10" s="22"/>
      <c r="O10" s="44"/>
    </row>
    <row r="11" spans="1:15" ht="14" x14ac:dyDescent="0.15">
      <c r="A11" s="43" t="s">
        <v>2987</v>
      </c>
      <c r="B11" s="22"/>
      <c r="C11" s="22"/>
      <c r="D11" s="44"/>
      <c r="E11" s="22"/>
      <c r="F11" s="44"/>
      <c r="G11" s="44"/>
      <c r="H11" s="57" t="str">
        <f t="shared" si="0"/>
        <v/>
      </c>
      <c r="I11" s="57" t="str">
        <f>IF(AND(ISNUMBER(F11),ISNUMBER(G11)),IF(F11&gt;=Engagement!$C$42,IF(G11&gt;=Engagement!$C$42,"Quick win","Strategic initiative"),IF(G11&gt;=Engagement!$C$42,"Fill-in","Deprioritise")),"")</f>
        <v/>
      </c>
      <c r="J11" s="44"/>
      <c r="K11" s="75"/>
      <c r="L11" s="22"/>
      <c r="M11" s="22"/>
      <c r="N11" s="22"/>
      <c r="O11" s="44"/>
    </row>
    <row r="12" spans="1:15" ht="14" x14ac:dyDescent="0.15">
      <c r="A12" s="43" t="s">
        <v>2988</v>
      </c>
      <c r="B12" s="22"/>
      <c r="C12" s="22"/>
      <c r="D12" s="44"/>
      <c r="E12" s="22"/>
      <c r="F12" s="44"/>
      <c r="G12" s="44"/>
      <c r="H12" s="57" t="str">
        <f t="shared" si="0"/>
        <v/>
      </c>
      <c r="I12" s="57" t="str">
        <f>IF(AND(ISNUMBER(F12),ISNUMBER(G12)),IF(F12&gt;=Engagement!$C$42,IF(G12&gt;=Engagement!$C$42,"Quick win","Strategic initiative"),IF(G12&gt;=Engagement!$C$42,"Fill-in","Deprioritise")),"")</f>
        <v/>
      </c>
      <c r="J12" s="44"/>
      <c r="K12" s="75"/>
      <c r="L12" s="22"/>
      <c r="M12" s="22"/>
      <c r="N12" s="22"/>
      <c r="O12" s="44"/>
    </row>
    <row r="13" spans="1:15" ht="14" x14ac:dyDescent="0.15">
      <c r="A13" s="43" t="s">
        <v>2989</v>
      </c>
      <c r="B13" s="22"/>
      <c r="C13" s="22"/>
      <c r="D13" s="44"/>
      <c r="E13" s="22"/>
      <c r="F13" s="44"/>
      <c r="G13" s="44"/>
      <c r="H13" s="57" t="str">
        <f t="shared" si="0"/>
        <v/>
      </c>
      <c r="I13" s="57" t="str">
        <f>IF(AND(ISNUMBER(F13),ISNUMBER(G13)),IF(F13&gt;=Engagement!$C$42,IF(G13&gt;=Engagement!$C$42,"Quick win","Strategic initiative"),IF(G13&gt;=Engagement!$C$42,"Fill-in","Deprioritise")),"")</f>
        <v/>
      </c>
      <c r="J13" s="44"/>
      <c r="K13" s="75"/>
      <c r="L13" s="22"/>
      <c r="M13" s="22"/>
      <c r="N13" s="22"/>
      <c r="O13" s="44"/>
    </row>
    <row r="14" spans="1:15" ht="14" x14ac:dyDescent="0.15">
      <c r="A14" s="43" t="s">
        <v>2990</v>
      </c>
      <c r="B14" s="22"/>
      <c r="C14" s="22"/>
      <c r="D14" s="44"/>
      <c r="E14" s="22"/>
      <c r="F14" s="44"/>
      <c r="G14" s="44"/>
      <c r="H14" s="57" t="str">
        <f t="shared" si="0"/>
        <v/>
      </c>
      <c r="I14" s="57" t="str">
        <f>IF(AND(ISNUMBER(F14),ISNUMBER(G14)),IF(F14&gt;=Engagement!$C$42,IF(G14&gt;=Engagement!$C$42,"Quick win","Strategic initiative"),IF(G14&gt;=Engagement!$C$42,"Fill-in","Deprioritise")),"")</f>
        <v/>
      </c>
      <c r="J14" s="44"/>
      <c r="K14" s="75"/>
      <c r="L14" s="22"/>
      <c r="M14" s="22"/>
      <c r="N14" s="22"/>
      <c r="O14" s="44"/>
    </row>
    <row r="15" spans="1:15" ht="14" x14ac:dyDescent="0.15">
      <c r="A15" s="43" t="s">
        <v>2991</v>
      </c>
      <c r="B15" s="22"/>
      <c r="C15" s="22"/>
      <c r="D15" s="44"/>
      <c r="E15" s="22"/>
      <c r="F15" s="44"/>
      <c r="G15" s="44"/>
      <c r="H15" s="57" t="str">
        <f t="shared" si="0"/>
        <v/>
      </c>
      <c r="I15" s="57" t="str">
        <f>IF(AND(ISNUMBER(F15),ISNUMBER(G15)),IF(F15&gt;=Engagement!$C$42,IF(G15&gt;=Engagement!$C$42,"Quick win","Strategic initiative"),IF(G15&gt;=Engagement!$C$42,"Fill-in","Deprioritise")),"")</f>
        <v/>
      </c>
      <c r="J15" s="44"/>
      <c r="K15" s="75"/>
      <c r="L15" s="22"/>
      <c r="M15" s="22"/>
      <c r="N15" s="22"/>
      <c r="O15" s="44"/>
    </row>
    <row r="16" spans="1:15" ht="14" x14ac:dyDescent="0.15">
      <c r="A16" s="43" t="s">
        <v>2992</v>
      </c>
      <c r="B16" s="22"/>
      <c r="C16" s="22"/>
      <c r="D16" s="44"/>
      <c r="E16" s="22"/>
      <c r="F16" s="44"/>
      <c r="G16" s="44"/>
      <c r="H16" s="57" t="str">
        <f t="shared" si="0"/>
        <v/>
      </c>
      <c r="I16" s="57" t="str">
        <f>IF(AND(ISNUMBER(F16),ISNUMBER(G16)),IF(F16&gt;=Engagement!$C$42,IF(G16&gt;=Engagement!$C$42,"Quick win","Strategic initiative"),IF(G16&gt;=Engagement!$C$42,"Fill-in","Deprioritise")),"")</f>
        <v/>
      </c>
      <c r="J16" s="44"/>
      <c r="K16" s="75"/>
      <c r="L16" s="22"/>
      <c r="M16" s="22"/>
      <c r="N16" s="22"/>
      <c r="O16" s="44"/>
    </row>
    <row r="17" spans="1:15" ht="14" x14ac:dyDescent="0.15">
      <c r="A17" s="43" t="s">
        <v>2993</v>
      </c>
      <c r="B17" s="22"/>
      <c r="C17" s="22"/>
      <c r="D17" s="44"/>
      <c r="E17" s="22"/>
      <c r="F17" s="44"/>
      <c r="G17" s="44"/>
      <c r="H17" s="57" t="str">
        <f t="shared" si="0"/>
        <v/>
      </c>
      <c r="I17" s="57" t="str">
        <f>IF(AND(ISNUMBER(F17),ISNUMBER(G17)),IF(F17&gt;=Engagement!$C$42,IF(G17&gt;=Engagement!$C$42,"Quick win","Strategic initiative"),IF(G17&gt;=Engagement!$C$42,"Fill-in","Deprioritise")),"")</f>
        <v/>
      </c>
      <c r="J17" s="44"/>
      <c r="K17" s="75"/>
      <c r="L17" s="22"/>
      <c r="M17" s="22"/>
      <c r="N17" s="22"/>
      <c r="O17" s="44"/>
    </row>
    <row r="18" spans="1:15" ht="14" x14ac:dyDescent="0.15">
      <c r="A18" s="43" t="s">
        <v>2994</v>
      </c>
      <c r="B18" s="22"/>
      <c r="C18" s="22"/>
      <c r="D18" s="44"/>
      <c r="E18" s="22"/>
      <c r="F18" s="44"/>
      <c r="G18" s="44"/>
      <c r="H18" s="57" t="str">
        <f t="shared" si="0"/>
        <v/>
      </c>
      <c r="I18" s="57" t="str">
        <f>IF(AND(ISNUMBER(F18),ISNUMBER(G18)),IF(F18&gt;=Engagement!$C$42,IF(G18&gt;=Engagement!$C$42,"Quick win","Strategic initiative"),IF(G18&gt;=Engagement!$C$42,"Fill-in","Deprioritise")),"")</f>
        <v/>
      </c>
      <c r="J18" s="44"/>
      <c r="K18" s="75"/>
      <c r="L18" s="22"/>
      <c r="M18" s="22"/>
      <c r="N18" s="22"/>
      <c r="O18" s="44"/>
    </row>
    <row r="19" spans="1:15" ht="14" x14ac:dyDescent="0.15">
      <c r="A19" s="43" t="s">
        <v>2995</v>
      </c>
      <c r="B19" s="22"/>
      <c r="C19" s="22"/>
      <c r="D19" s="44"/>
      <c r="E19" s="22"/>
      <c r="F19" s="44"/>
      <c r="G19" s="44"/>
      <c r="H19" s="57" t="str">
        <f t="shared" si="0"/>
        <v/>
      </c>
      <c r="I19" s="57" t="str">
        <f>IF(AND(ISNUMBER(F19),ISNUMBER(G19)),IF(F19&gt;=Engagement!$C$42,IF(G19&gt;=Engagement!$C$42,"Quick win","Strategic initiative"),IF(G19&gt;=Engagement!$C$42,"Fill-in","Deprioritise")),"")</f>
        <v/>
      </c>
      <c r="J19" s="44"/>
      <c r="K19" s="75"/>
      <c r="L19" s="22"/>
      <c r="M19" s="22"/>
      <c r="N19" s="22"/>
      <c r="O19" s="44"/>
    </row>
    <row r="20" spans="1:15" ht="14" x14ac:dyDescent="0.15">
      <c r="A20" s="43" t="s">
        <v>2996</v>
      </c>
      <c r="B20" s="22"/>
      <c r="C20" s="22"/>
      <c r="D20" s="44"/>
      <c r="E20" s="22"/>
      <c r="F20" s="44"/>
      <c r="G20" s="44"/>
      <c r="H20" s="57" t="str">
        <f t="shared" si="0"/>
        <v/>
      </c>
      <c r="I20" s="57" t="str">
        <f>IF(AND(ISNUMBER(F20),ISNUMBER(G20)),IF(F20&gt;=Engagement!$C$42,IF(G20&gt;=Engagement!$C$42,"Quick win","Strategic initiative"),IF(G20&gt;=Engagement!$C$42,"Fill-in","Deprioritise")),"")</f>
        <v/>
      </c>
      <c r="J20" s="44"/>
      <c r="K20" s="75"/>
      <c r="L20" s="22"/>
      <c r="M20" s="22"/>
      <c r="N20" s="22"/>
      <c r="O20" s="44"/>
    </row>
    <row r="21" spans="1:15" ht="14" x14ac:dyDescent="0.15">
      <c r="A21" s="43" t="s">
        <v>2997</v>
      </c>
      <c r="B21" s="22"/>
      <c r="C21" s="22"/>
      <c r="D21" s="44"/>
      <c r="E21" s="22"/>
      <c r="F21" s="44"/>
      <c r="G21" s="44"/>
      <c r="H21" s="57" t="str">
        <f t="shared" si="0"/>
        <v/>
      </c>
      <c r="I21" s="57" t="str">
        <f>IF(AND(ISNUMBER(F21),ISNUMBER(G21)),IF(F21&gt;=Engagement!$C$42,IF(G21&gt;=Engagement!$C$42,"Quick win","Strategic initiative"),IF(G21&gt;=Engagement!$C$42,"Fill-in","Deprioritise")),"")</f>
        <v/>
      </c>
      <c r="J21" s="44"/>
      <c r="K21" s="75"/>
      <c r="L21" s="22"/>
      <c r="M21" s="22"/>
      <c r="N21" s="22"/>
      <c r="O21" s="44"/>
    </row>
    <row r="22" spans="1:15" ht="14" x14ac:dyDescent="0.15">
      <c r="A22" s="43" t="s">
        <v>2998</v>
      </c>
      <c r="B22" s="22"/>
      <c r="C22" s="22"/>
      <c r="D22" s="44"/>
      <c r="E22" s="22"/>
      <c r="F22" s="44"/>
      <c r="G22" s="44"/>
      <c r="H22" s="57" t="str">
        <f t="shared" si="0"/>
        <v/>
      </c>
      <c r="I22" s="57" t="str">
        <f>IF(AND(ISNUMBER(F22),ISNUMBER(G22)),IF(F22&gt;=Engagement!$C$42,IF(G22&gt;=Engagement!$C$42,"Quick win","Strategic initiative"),IF(G22&gt;=Engagement!$C$42,"Fill-in","Deprioritise")),"")</f>
        <v/>
      </c>
      <c r="J22" s="44"/>
      <c r="K22" s="75"/>
      <c r="L22" s="22"/>
      <c r="M22" s="22"/>
      <c r="N22" s="22"/>
      <c r="O22" s="44"/>
    </row>
    <row r="23" spans="1:15" ht="14" x14ac:dyDescent="0.15">
      <c r="A23" s="43" t="s">
        <v>2999</v>
      </c>
      <c r="B23" s="22"/>
      <c r="C23" s="22"/>
      <c r="D23" s="44"/>
      <c r="E23" s="22"/>
      <c r="F23" s="44"/>
      <c r="G23" s="44"/>
      <c r="H23" s="57" t="str">
        <f t="shared" si="0"/>
        <v/>
      </c>
      <c r="I23" s="57" t="str">
        <f>IF(AND(ISNUMBER(F23),ISNUMBER(G23)),IF(F23&gt;=Engagement!$C$42,IF(G23&gt;=Engagement!$C$42,"Quick win","Strategic initiative"),IF(G23&gt;=Engagement!$C$42,"Fill-in","Deprioritise")),"")</f>
        <v/>
      </c>
      <c r="J23" s="44"/>
      <c r="K23" s="75"/>
      <c r="L23" s="22"/>
      <c r="M23" s="22"/>
      <c r="N23" s="22"/>
      <c r="O23" s="44"/>
    </row>
    <row r="24" spans="1:15" ht="14" x14ac:dyDescent="0.15">
      <c r="A24" s="43" t="s">
        <v>3000</v>
      </c>
      <c r="B24" s="22"/>
      <c r="C24" s="22"/>
      <c r="D24" s="44"/>
      <c r="E24" s="22"/>
      <c r="F24" s="44"/>
      <c r="G24" s="44"/>
      <c r="H24" s="57" t="str">
        <f t="shared" si="0"/>
        <v/>
      </c>
      <c r="I24" s="57" t="str">
        <f>IF(AND(ISNUMBER(F24),ISNUMBER(G24)),IF(F24&gt;=Engagement!$C$42,IF(G24&gt;=Engagement!$C$42,"Quick win","Strategic initiative"),IF(G24&gt;=Engagement!$C$42,"Fill-in","Deprioritise")),"")</f>
        <v/>
      </c>
      <c r="J24" s="44"/>
      <c r="K24" s="75"/>
      <c r="L24" s="22"/>
      <c r="M24" s="22"/>
      <c r="N24" s="22"/>
      <c r="O24" s="44"/>
    </row>
    <row r="25" spans="1:15" ht="14" x14ac:dyDescent="0.15">
      <c r="A25" s="43" t="s">
        <v>3001</v>
      </c>
      <c r="B25" s="22"/>
      <c r="C25" s="22"/>
      <c r="D25" s="44"/>
      <c r="E25" s="22"/>
      <c r="F25" s="44"/>
      <c r="G25" s="44"/>
      <c r="H25" s="57" t="str">
        <f t="shared" si="0"/>
        <v/>
      </c>
      <c r="I25" s="57" t="str">
        <f>IF(AND(ISNUMBER(F25),ISNUMBER(G25)),IF(F25&gt;=Engagement!$C$42,IF(G25&gt;=Engagement!$C$42,"Quick win","Strategic initiative"),IF(G25&gt;=Engagement!$C$42,"Fill-in","Deprioritise")),"")</f>
        <v/>
      </c>
      <c r="J25" s="44"/>
      <c r="K25" s="75"/>
      <c r="L25" s="22"/>
      <c r="M25" s="22"/>
      <c r="N25" s="22"/>
      <c r="O25" s="44"/>
    </row>
    <row r="26" spans="1:15" ht="14" x14ac:dyDescent="0.15">
      <c r="A26" s="43" t="s">
        <v>3002</v>
      </c>
      <c r="B26" s="22"/>
      <c r="C26" s="22"/>
      <c r="D26" s="44"/>
      <c r="E26" s="22"/>
      <c r="F26" s="44"/>
      <c r="G26" s="44"/>
      <c r="H26" s="57" t="str">
        <f t="shared" si="0"/>
        <v/>
      </c>
      <c r="I26" s="57" t="str">
        <f>IF(AND(ISNUMBER(F26),ISNUMBER(G26)),IF(F26&gt;=Engagement!$C$42,IF(G26&gt;=Engagement!$C$42,"Quick win","Strategic initiative"),IF(G26&gt;=Engagement!$C$42,"Fill-in","Deprioritise")),"")</f>
        <v/>
      </c>
      <c r="J26" s="44"/>
      <c r="K26" s="75"/>
      <c r="L26" s="22"/>
      <c r="M26" s="22"/>
      <c r="N26" s="22"/>
      <c r="O26" s="44"/>
    </row>
    <row r="27" spans="1:15" ht="14" x14ac:dyDescent="0.15">
      <c r="A27" s="43" t="s">
        <v>3003</v>
      </c>
      <c r="B27" s="22"/>
      <c r="C27" s="22"/>
      <c r="D27" s="44"/>
      <c r="E27" s="22"/>
      <c r="F27" s="44"/>
      <c r="G27" s="44"/>
      <c r="H27" s="57" t="str">
        <f t="shared" si="0"/>
        <v/>
      </c>
      <c r="I27" s="57" t="str">
        <f>IF(AND(ISNUMBER(F27),ISNUMBER(G27)),IF(F27&gt;=Engagement!$C$42,IF(G27&gt;=Engagement!$C$42,"Quick win","Strategic initiative"),IF(G27&gt;=Engagement!$C$42,"Fill-in","Deprioritise")),"")</f>
        <v/>
      </c>
      <c r="J27" s="44"/>
      <c r="K27" s="75"/>
      <c r="L27" s="22"/>
      <c r="M27" s="22"/>
      <c r="N27" s="22"/>
      <c r="O27" s="44"/>
    </row>
    <row r="28" spans="1:15" ht="14" x14ac:dyDescent="0.15">
      <c r="A28" s="43" t="s">
        <v>3004</v>
      </c>
      <c r="B28" s="22"/>
      <c r="C28" s="22"/>
      <c r="D28" s="44"/>
      <c r="E28" s="22"/>
      <c r="F28" s="44"/>
      <c r="G28" s="44"/>
      <c r="H28" s="57" t="str">
        <f t="shared" si="0"/>
        <v/>
      </c>
      <c r="I28" s="57" t="str">
        <f>IF(AND(ISNUMBER(F28),ISNUMBER(G28)),IF(F28&gt;=Engagement!$C$42,IF(G28&gt;=Engagement!$C$42,"Quick win","Strategic initiative"),IF(G28&gt;=Engagement!$C$42,"Fill-in","Deprioritise")),"")</f>
        <v/>
      </c>
      <c r="J28" s="44"/>
      <c r="K28" s="75"/>
      <c r="L28" s="22"/>
      <c r="M28" s="22"/>
      <c r="N28" s="22"/>
      <c r="O28" s="44"/>
    </row>
    <row r="29" spans="1:15" ht="14" x14ac:dyDescent="0.15">
      <c r="A29" s="43" t="s">
        <v>3005</v>
      </c>
      <c r="B29" s="22"/>
      <c r="C29" s="22"/>
      <c r="D29" s="44"/>
      <c r="E29" s="22"/>
      <c r="F29" s="44"/>
      <c r="G29" s="44"/>
      <c r="H29" s="57" t="str">
        <f t="shared" si="0"/>
        <v/>
      </c>
      <c r="I29" s="57" t="str">
        <f>IF(AND(ISNUMBER(F29),ISNUMBER(G29)),IF(F29&gt;=Engagement!$C$42,IF(G29&gt;=Engagement!$C$42,"Quick win","Strategic initiative"),IF(G29&gt;=Engagement!$C$42,"Fill-in","Deprioritise")),"")</f>
        <v/>
      </c>
      <c r="J29" s="44"/>
      <c r="K29" s="75"/>
      <c r="L29" s="22"/>
      <c r="M29" s="22"/>
      <c r="N29" s="22"/>
      <c r="O29" s="44"/>
    </row>
    <row r="30" spans="1:15" ht="14" x14ac:dyDescent="0.15">
      <c r="A30" s="43" t="s">
        <v>3006</v>
      </c>
      <c r="B30" s="22"/>
      <c r="C30" s="22"/>
      <c r="D30" s="44"/>
      <c r="E30" s="22"/>
      <c r="F30" s="44"/>
      <c r="G30" s="44"/>
      <c r="H30" s="57" t="str">
        <f t="shared" si="0"/>
        <v/>
      </c>
      <c r="I30" s="57" t="str">
        <f>IF(AND(ISNUMBER(F30),ISNUMBER(G30)),IF(F30&gt;=Engagement!$C$42,IF(G30&gt;=Engagement!$C$42,"Quick win","Strategic initiative"),IF(G30&gt;=Engagement!$C$42,"Fill-in","Deprioritise")),"")</f>
        <v/>
      </c>
      <c r="J30" s="44"/>
      <c r="K30" s="75"/>
      <c r="L30" s="22"/>
      <c r="M30" s="22"/>
      <c r="N30" s="22"/>
      <c r="O30" s="44"/>
    </row>
    <row r="31" spans="1:15" ht="14" x14ac:dyDescent="0.15">
      <c r="A31" s="43" t="s">
        <v>3007</v>
      </c>
      <c r="B31" s="22"/>
      <c r="C31" s="22"/>
      <c r="D31" s="44"/>
      <c r="E31" s="22"/>
      <c r="F31" s="44"/>
      <c r="G31" s="44"/>
      <c r="H31" s="57" t="str">
        <f t="shared" si="0"/>
        <v/>
      </c>
      <c r="I31" s="57" t="str">
        <f>IF(AND(ISNUMBER(F31),ISNUMBER(G31)),IF(F31&gt;=Engagement!$C$42,IF(G31&gt;=Engagement!$C$42,"Quick win","Strategic initiative"),IF(G31&gt;=Engagement!$C$42,"Fill-in","Deprioritise")),"")</f>
        <v/>
      </c>
      <c r="J31" s="44"/>
      <c r="K31" s="75"/>
      <c r="L31" s="22"/>
      <c r="M31" s="22"/>
      <c r="N31" s="22"/>
      <c r="O31" s="44"/>
    </row>
    <row r="32" spans="1:15" ht="14" x14ac:dyDescent="0.15">
      <c r="A32" s="43" t="s">
        <v>3008</v>
      </c>
      <c r="B32" s="22"/>
      <c r="C32" s="22"/>
      <c r="D32" s="44"/>
      <c r="E32" s="22"/>
      <c r="F32" s="44"/>
      <c r="G32" s="44"/>
      <c r="H32" s="57" t="str">
        <f t="shared" si="0"/>
        <v/>
      </c>
      <c r="I32" s="57" t="str">
        <f>IF(AND(ISNUMBER(F32),ISNUMBER(G32)),IF(F32&gt;=Engagement!$C$42,IF(G32&gt;=Engagement!$C$42,"Quick win","Strategic initiative"),IF(G32&gt;=Engagement!$C$42,"Fill-in","Deprioritise")),"")</f>
        <v/>
      </c>
      <c r="J32" s="44"/>
      <c r="K32" s="75"/>
      <c r="L32" s="22"/>
      <c r="M32" s="22"/>
      <c r="N32" s="22"/>
      <c r="O32" s="44"/>
    </row>
    <row r="33" spans="1:15" ht="14" x14ac:dyDescent="0.15">
      <c r="A33" s="43" t="s">
        <v>3009</v>
      </c>
      <c r="B33" s="22"/>
      <c r="C33" s="22"/>
      <c r="D33" s="44"/>
      <c r="E33" s="22"/>
      <c r="F33" s="44"/>
      <c r="G33" s="44"/>
      <c r="H33" s="57" t="str">
        <f t="shared" si="0"/>
        <v/>
      </c>
      <c r="I33" s="57" t="str">
        <f>IF(AND(ISNUMBER(F33),ISNUMBER(G33)),IF(F33&gt;=Engagement!$C$42,IF(G33&gt;=Engagement!$C$42,"Quick win","Strategic initiative"),IF(G33&gt;=Engagement!$C$42,"Fill-in","Deprioritise")),"")</f>
        <v/>
      </c>
      <c r="J33" s="44"/>
      <c r="K33" s="75"/>
      <c r="L33" s="22"/>
      <c r="M33" s="22"/>
      <c r="N33" s="22"/>
      <c r="O33" s="44"/>
    </row>
    <row r="34" spans="1:15" ht="14" x14ac:dyDescent="0.15">
      <c r="A34" s="43" t="s">
        <v>3010</v>
      </c>
      <c r="B34" s="22"/>
      <c r="C34" s="22"/>
      <c r="D34" s="44"/>
      <c r="E34" s="22"/>
      <c r="F34" s="44"/>
      <c r="G34" s="44"/>
      <c r="H34" s="57" t="str">
        <f t="shared" si="0"/>
        <v/>
      </c>
      <c r="I34" s="57" t="str">
        <f>IF(AND(ISNUMBER(F34),ISNUMBER(G34)),IF(F34&gt;=Engagement!$C$42,IF(G34&gt;=Engagement!$C$42,"Quick win","Strategic initiative"),IF(G34&gt;=Engagement!$C$42,"Fill-in","Deprioritise")),"")</f>
        <v/>
      </c>
      <c r="J34" s="44"/>
      <c r="K34" s="75"/>
      <c r="L34" s="22"/>
      <c r="M34" s="22"/>
      <c r="N34" s="22"/>
      <c r="O34" s="44"/>
    </row>
    <row r="35" spans="1:15" ht="14" x14ac:dyDescent="0.15">
      <c r="A35" s="43" t="s">
        <v>3011</v>
      </c>
      <c r="B35" s="22"/>
      <c r="C35" s="22"/>
      <c r="D35" s="44"/>
      <c r="E35" s="22"/>
      <c r="F35" s="44"/>
      <c r="G35" s="44"/>
      <c r="H35" s="57" t="str">
        <f t="shared" si="0"/>
        <v/>
      </c>
      <c r="I35" s="57" t="str">
        <f>IF(AND(ISNUMBER(F35),ISNUMBER(G35)),IF(F35&gt;=Engagement!$C$42,IF(G35&gt;=Engagement!$C$42,"Quick win","Strategic initiative"),IF(G35&gt;=Engagement!$C$42,"Fill-in","Deprioritise")),"")</f>
        <v/>
      </c>
      <c r="J35" s="44"/>
      <c r="K35" s="75"/>
      <c r="L35" s="22"/>
      <c r="M35" s="22"/>
      <c r="N35" s="22"/>
      <c r="O35" s="44"/>
    </row>
    <row r="36" spans="1:15" ht="14" x14ac:dyDescent="0.15">
      <c r="A36" s="43" t="s">
        <v>3012</v>
      </c>
      <c r="B36" s="22"/>
      <c r="C36" s="22"/>
      <c r="D36" s="44"/>
      <c r="E36" s="22"/>
      <c r="F36" s="44"/>
      <c r="G36" s="44"/>
      <c r="H36" s="57" t="str">
        <f t="shared" si="0"/>
        <v/>
      </c>
      <c r="I36" s="57" t="str">
        <f>IF(AND(ISNUMBER(F36),ISNUMBER(G36)),IF(F36&gt;=Engagement!$C$42,IF(G36&gt;=Engagement!$C$42,"Quick win","Strategic initiative"),IF(G36&gt;=Engagement!$C$42,"Fill-in","Deprioritise")),"")</f>
        <v/>
      </c>
      <c r="J36" s="44"/>
      <c r="K36" s="75"/>
      <c r="L36" s="22"/>
      <c r="M36" s="22"/>
      <c r="N36" s="22"/>
      <c r="O36" s="44"/>
    </row>
    <row r="37" spans="1:15" ht="14" x14ac:dyDescent="0.15">
      <c r="A37" s="43" t="s">
        <v>3013</v>
      </c>
      <c r="B37" s="22"/>
      <c r="C37" s="22"/>
      <c r="D37" s="44"/>
      <c r="E37" s="22"/>
      <c r="F37" s="44"/>
      <c r="G37" s="44"/>
      <c r="H37" s="57" t="str">
        <f t="shared" si="0"/>
        <v/>
      </c>
      <c r="I37" s="57" t="str">
        <f>IF(AND(ISNUMBER(F37),ISNUMBER(G37)),IF(F37&gt;=Engagement!$C$42,IF(G37&gt;=Engagement!$C$42,"Quick win","Strategic initiative"),IF(G37&gt;=Engagement!$C$42,"Fill-in","Deprioritise")),"")</f>
        <v/>
      </c>
      <c r="J37" s="44"/>
      <c r="K37" s="75"/>
      <c r="L37" s="22"/>
      <c r="M37" s="22"/>
      <c r="N37" s="22"/>
      <c r="O37" s="44"/>
    </row>
    <row r="38" spans="1:15" ht="14" x14ac:dyDescent="0.15">
      <c r="A38" s="43" t="s">
        <v>3014</v>
      </c>
      <c r="B38" s="22"/>
      <c r="C38" s="22"/>
      <c r="D38" s="44"/>
      <c r="E38" s="22"/>
      <c r="F38" s="44"/>
      <c r="G38" s="44"/>
      <c r="H38" s="57" t="str">
        <f t="shared" ref="H38:H69" si="1">IF(AND(ISNUMBER(F38),ISNUMBER(G38)),F38*G38,"")</f>
        <v/>
      </c>
      <c r="I38" s="57" t="str">
        <f>IF(AND(ISNUMBER(F38),ISNUMBER(G38)),IF(F38&gt;=Engagement!$C$42,IF(G38&gt;=Engagement!$C$42,"Quick win","Strategic initiative"),IF(G38&gt;=Engagement!$C$42,"Fill-in","Deprioritise")),"")</f>
        <v/>
      </c>
      <c r="J38" s="44"/>
      <c r="K38" s="75"/>
      <c r="L38" s="22"/>
      <c r="M38" s="22"/>
      <c r="N38" s="22"/>
      <c r="O38" s="44"/>
    </row>
    <row r="39" spans="1:15" ht="14" x14ac:dyDescent="0.15">
      <c r="A39" s="43" t="s">
        <v>3015</v>
      </c>
      <c r="B39" s="22"/>
      <c r="C39" s="22"/>
      <c r="D39" s="44"/>
      <c r="E39" s="22"/>
      <c r="F39" s="44"/>
      <c r="G39" s="44"/>
      <c r="H39" s="57" t="str">
        <f t="shared" si="1"/>
        <v/>
      </c>
      <c r="I39" s="57" t="str">
        <f>IF(AND(ISNUMBER(F39),ISNUMBER(G39)),IF(F39&gt;=Engagement!$C$42,IF(G39&gt;=Engagement!$C$42,"Quick win","Strategic initiative"),IF(G39&gt;=Engagement!$C$42,"Fill-in","Deprioritise")),"")</f>
        <v/>
      </c>
      <c r="J39" s="44"/>
      <c r="K39" s="75"/>
      <c r="L39" s="22"/>
      <c r="M39" s="22"/>
      <c r="N39" s="22"/>
      <c r="O39" s="44"/>
    </row>
    <row r="40" spans="1:15" ht="14" x14ac:dyDescent="0.15">
      <c r="A40" s="43" t="s">
        <v>3016</v>
      </c>
      <c r="B40" s="22"/>
      <c r="C40" s="22"/>
      <c r="D40" s="44"/>
      <c r="E40" s="22"/>
      <c r="F40" s="44"/>
      <c r="G40" s="44"/>
      <c r="H40" s="57" t="str">
        <f t="shared" si="1"/>
        <v/>
      </c>
      <c r="I40" s="57" t="str">
        <f>IF(AND(ISNUMBER(F40),ISNUMBER(G40)),IF(F40&gt;=Engagement!$C$42,IF(G40&gt;=Engagement!$C$42,"Quick win","Strategic initiative"),IF(G40&gt;=Engagement!$C$42,"Fill-in","Deprioritise")),"")</f>
        <v/>
      </c>
      <c r="J40" s="44"/>
      <c r="K40" s="75"/>
      <c r="L40" s="22"/>
      <c r="M40" s="22"/>
      <c r="N40" s="22"/>
      <c r="O40" s="44"/>
    </row>
    <row r="41" spans="1:15" ht="14" x14ac:dyDescent="0.15">
      <c r="A41" s="43" t="s">
        <v>3017</v>
      </c>
      <c r="B41" s="22"/>
      <c r="C41" s="22"/>
      <c r="D41" s="44"/>
      <c r="E41" s="22"/>
      <c r="F41" s="44"/>
      <c r="G41" s="44"/>
      <c r="H41" s="57" t="str">
        <f t="shared" si="1"/>
        <v/>
      </c>
      <c r="I41" s="57" t="str">
        <f>IF(AND(ISNUMBER(F41),ISNUMBER(G41)),IF(F41&gt;=Engagement!$C$42,IF(G41&gt;=Engagement!$C$42,"Quick win","Strategic initiative"),IF(G41&gt;=Engagement!$C$42,"Fill-in","Deprioritise")),"")</f>
        <v/>
      </c>
      <c r="J41" s="44"/>
      <c r="K41" s="75"/>
      <c r="L41" s="22"/>
      <c r="M41" s="22"/>
      <c r="N41" s="22"/>
      <c r="O41" s="44"/>
    </row>
    <row r="42" spans="1:15" ht="14" x14ac:dyDescent="0.15">
      <c r="A42" s="43" t="s">
        <v>3018</v>
      </c>
      <c r="B42" s="22"/>
      <c r="C42" s="22"/>
      <c r="D42" s="44"/>
      <c r="E42" s="22"/>
      <c r="F42" s="44"/>
      <c r="G42" s="44"/>
      <c r="H42" s="57" t="str">
        <f t="shared" si="1"/>
        <v/>
      </c>
      <c r="I42" s="57" t="str">
        <f>IF(AND(ISNUMBER(F42),ISNUMBER(G42)),IF(F42&gt;=Engagement!$C$42,IF(G42&gt;=Engagement!$C$42,"Quick win","Strategic initiative"),IF(G42&gt;=Engagement!$C$42,"Fill-in","Deprioritise")),"")</f>
        <v/>
      </c>
      <c r="J42" s="44"/>
      <c r="K42" s="75"/>
      <c r="L42" s="22"/>
      <c r="M42" s="22"/>
      <c r="N42" s="22"/>
      <c r="O42" s="44"/>
    </row>
    <row r="43" spans="1:15" ht="14" x14ac:dyDescent="0.15">
      <c r="A43" s="43" t="s">
        <v>3019</v>
      </c>
      <c r="B43" s="22"/>
      <c r="C43" s="22"/>
      <c r="D43" s="44"/>
      <c r="E43" s="22"/>
      <c r="F43" s="44"/>
      <c r="G43" s="44"/>
      <c r="H43" s="57" t="str">
        <f t="shared" si="1"/>
        <v/>
      </c>
      <c r="I43" s="57" t="str">
        <f>IF(AND(ISNUMBER(F43),ISNUMBER(G43)),IF(F43&gt;=Engagement!$C$42,IF(G43&gt;=Engagement!$C$42,"Quick win","Strategic initiative"),IF(G43&gt;=Engagement!$C$42,"Fill-in","Deprioritise")),"")</f>
        <v/>
      </c>
      <c r="J43" s="44"/>
      <c r="K43" s="75"/>
      <c r="L43" s="22"/>
      <c r="M43" s="22"/>
      <c r="N43" s="22"/>
      <c r="O43" s="44"/>
    </row>
    <row r="44" spans="1:15" ht="14" x14ac:dyDescent="0.15">
      <c r="A44" s="43" t="s">
        <v>3020</v>
      </c>
      <c r="B44" s="22"/>
      <c r="C44" s="22"/>
      <c r="D44" s="44"/>
      <c r="E44" s="22"/>
      <c r="F44" s="44"/>
      <c r="G44" s="44"/>
      <c r="H44" s="57" t="str">
        <f t="shared" si="1"/>
        <v/>
      </c>
      <c r="I44" s="57" t="str">
        <f>IF(AND(ISNUMBER(F44),ISNUMBER(G44)),IF(F44&gt;=Engagement!$C$42,IF(G44&gt;=Engagement!$C$42,"Quick win","Strategic initiative"),IF(G44&gt;=Engagement!$C$42,"Fill-in","Deprioritise")),"")</f>
        <v/>
      </c>
      <c r="J44" s="44"/>
      <c r="K44" s="75"/>
      <c r="L44" s="22"/>
      <c r="M44" s="22"/>
      <c r="N44" s="22"/>
      <c r="O44" s="44"/>
    </row>
    <row r="45" spans="1:15" ht="14" x14ac:dyDescent="0.15">
      <c r="A45" s="43" t="s">
        <v>3021</v>
      </c>
      <c r="B45" s="22"/>
      <c r="C45" s="22"/>
      <c r="D45" s="44"/>
      <c r="E45" s="22"/>
      <c r="F45" s="44"/>
      <c r="G45" s="44"/>
      <c r="H45" s="57" t="str">
        <f t="shared" si="1"/>
        <v/>
      </c>
      <c r="I45" s="57" t="str">
        <f>IF(AND(ISNUMBER(F45),ISNUMBER(G45)),IF(F45&gt;=Engagement!$C$42,IF(G45&gt;=Engagement!$C$42,"Quick win","Strategic initiative"),IF(G45&gt;=Engagement!$C$42,"Fill-in","Deprioritise")),"")</f>
        <v/>
      </c>
      <c r="J45" s="44"/>
      <c r="K45" s="75"/>
      <c r="L45" s="22"/>
      <c r="M45" s="22"/>
      <c r="N45" s="22"/>
      <c r="O45" s="44"/>
    </row>
    <row r="46" spans="1:15" ht="14" x14ac:dyDescent="0.15">
      <c r="A46" s="43" t="s">
        <v>3022</v>
      </c>
      <c r="B46" s="22"/>
      <c r="C46" s="22"/>
      <c r="D46" s="44"/>
      <c r="E46" s="22"/>
      <c r="F46" s="44"/>
      <c r="G46" s="44"/>
      <c r="H46" s="57" t="str">
        <f t="shared" si="1"/>
        <v/>
      </c>
      <c r="I46" s="57" t="str">
        <f>IF(AND(ISNUMBER(F46),ISNUMBER(G46)),IF(F46&gt;=Engagement!$C$42,IF(G46&gt;=Engagement!$C$42,"Quick win","Strategic initiative"),IF(G46&gt;=Engagement!$C$42,"Fill-in","Deprioritise")),"")</f>
        <v/>
      </c>
      <c r="J46" s="44"/>
      <c r="K46" s="75"/>
      <c r="L46" s="22"/>
      <c r="M46" s="22"/>
      <c r="N46" s="22"/>
      <c r="O46" s="44"/>
    </row>
    <row r="47" spans="1:15" ht="14" x14ac:dyDescent="0.15">
      <c r="A47" s="43" t="s">
        <v>3023</v>
      </c>
      <c r="B47" s="22"/>
      <c r="C47" s="22"/>
      <c r="D47" s="44"/>
      <c r="E47" s="22"/>
      <c r="F47" s="44"/>
      <c r="G47" s="44"/>
      <c r="H47" s="57" t="str">
        <f t="shared" si="1"/>
        <v/>
      </c>
      <c r="I47" s="57" t="str">
        <f>IF(AND(ISNUMBER(F47),ISNUMBER(G47)),IF(F47&gt;=Engagement!$C$42,IF(G47&gt;=Engagement!$C$42,"Quick win","Strategic initiative"),IF(G47&gt;=Engagement!$C$42,"Fill-in","Deprioritise")),"")</f>
        <v/>
      </c>
      <c r="J47" s="44"/>
      <c r="K47" s="75"/>
      <c r="L47" s="22"/>
      <c r="M47" s="22"/>
      <c r="N47" s="22"/>
      <c r="O47" s="44"/>
    </row>
    <row r="48" spans="1:15" ht="14" x14ac:dyDescent="0.15">
      <c r="A48" s="43" t="s">
        <v>3024</v>
      </c>
      <c r="B48" s="22"/>
      <c r="C48" s="22"/>
      <c r="D48" s="44"/>
      <c r="E48" s="22"/>
      <c r="F48" s="44"/>
      <c r="G48" s="44"/>
      <c r="H48" s="57" t="str">
        <f t="shared" si="1"/>
        <v/>
      </c>
      <c r="I48" s="57" t="str">
        <f>IF(AND(ISNUMBER(F48),ISNUMBER(G48)),IF(F48&gt;=Engagement!$C$42,IF(G48&gt;=Engagement!$C$42,"Quick win","Strategic initiative"),IF(G48&gt;=Engagement!$C$42,"Fill-in","Deprioritise")),"")</f>
        <v/>
      </c>
      <c r="J48" s="44"/>
      <c r="K48" s="75"/>
      <c r="L48" s="22"/>
      <c r="M48" s="22"/>
      <c r="N48" s="22"/>
      <c r="O48" s="44"/>
    </row>
    <row r="49" spans="1:15" ht="14" x14ac:dyDescent="0.15">
      <c r="A49" s="43" t="s">
        <v>3025</v>
      </c>
      <c r="B49" s="22"/>
      <c r="C49" s="22"/>
      <c r="D49" s="44"/>
      <c r="E49" s="22"/>
      <c r="F49" s="44"/>
      <c r="G49" s="44"/>
      <c r="H49" s="57" t="str">
        <f t="shared" si="1"/>
        <v/>
      </c>
      <c r="I49" s="57" t="str">
        <f>IF(AND(ISNUMBER(F49),ISNUMBER(G49)),IF(F49&gt;=Engagement!$C$42,IF(G49&gt;=Engagement!$C$42,"Quick win","Strategic initiative"),IF(G49&gt;=Engagement!$C$42,"Fill-in","Deprioritise")),"")</f>
        <v/>
      </c>
      <c r="J49" s="44"/>
      <c r="K49" s="75"/>
      <c r="L49" s="22"/>
      <c r="M49" s="22"/>
      <c r="N49" s="22"/>
      <c r="O49" s="44"/>
    </row>
    <row r="50" spans="1:15" ht="14" x14ac:dyDescent="0.15">
      <c r="A50" s="43" t="s">
        <v>3026</v>
      </c>
      <c r="B50" s="22"/>
      <c r="C50" s="22"/>
      <c r="D50" s="44"/>
      <c r="E50" s="22"/>
      <c r="F50" s="44"/>
      <c r="G50" s="44"/>
      <c r="H50" s="57" t="str">
        <f t="shared" si="1"/>
        <v/>
      </c>
      <c r="I50" s="57" t="str">
        <f>IF(AND(ISNUMBER(F50),ISNUMBER(G50)),IF(F50&gt;=Engagement!$C$42,IF(G50&gt;=Engagement!$C$42,"Quick win","Strategic initiative"),IF(G50&gt;=Engagement!$C$42,"Fill-in","Deprioritise")),"")</f>
        <v/>
      </c>
      <c r="J50" s="44"/>
      <c r="K50" s="75"/>
      <c r="L50" s="22"/>
      <c r="M50" s="22"/>
      <c r="N50" s="22"/>
      <c r="O50" s="44"/>
    </row>
    <row r="51" spans="1:15" ht="14" x14ac:dyDescent="0.15">
      <c r="A51" s="43" t="s">
        <v>3027</v>
      </c>
      <c r="B51" s="22"/>
      <c r="C51" s="22"/>
      <c r="D51" s="44"/>
      <c r="E51" s="22"/>
      <c r="F51" s="44"/>
      <c r="G51" s="44"/>
      <c r="H51" s="57" t="str">
        <f t="shared" si="1"/>
        <v/>
      </c>
      <c r="I51" s="57" t="str">
        <f>IF(AND(ISNUMBER(F51),ISNUMBER(G51)),IF(F51&gt;=Engagement!$C$42,IF(G51&gt;=Engagement!$C$42,"Quick win","Strategic initiative"),IF(G51&gt;=Engagement!$C$42,"Fill-in","Deprioritise")),"")</f>
        <v/>
      </c>
      <c r="J51" s="44"/>
      <c r="K51" s="75"/>
      <c r="L51" s="22"/>
      <c r="M51" s="22"/>
      <c r="N51" s="22"/>
      <c r="O51" s="44"/>
    </row>
    <row r="52" spans="1:15" ht="14" x14ac:dyDescent="0.15">
      <c r="A52" s="43" t="s">
        <v>3028</v>
      </c>
      <c r="B52" s="22"/>
      <c r="C52" s="22"/>
      <c r="D52" s="44"/>
      <c r="E52" s="22"/>
      <c r="F52" s="44"/>
      <c r="G52" s="44"/>
      <c r="H52" s="57" t="str">
        <f t="shared" si="1"/>
        <v/>
      </c>
      <c r="I52" s="57" t="str">
        <f>IF(AND(ISNUMBER(F52),ISNUMBER(G52)),IF(F52&gt;=Engagement!$C$42,IF(G52&gt;=Engagement!$C$42,"Quick win","Strategic initiative"),IF(G52&gt;=Engagement!$C$42,"Fill-in","Deprioritise")),"")</f>
        <v/>
      </c>
      <c r="J52" s="44"/>
      <c r="K52" s="75"/>
      <c r="L52" s="22"/>
      <c r="M52" s="22"/>
      <c r="N52" s="22"/>
      <c r="O52" s="44"/>
    </row>
    <row r="53" spans="1:15" ht="14" x14ac:dyDescent="0.15">
      <c r="A53" s="43" t="s">
        <v>3029</v>
      </c>
      <c r="B53" s="22"/>
      <c r="C53" s="22"/>
      <c r="D53" s="44"/>
      <c r="E53" s="22"/>
      <c r="F53" s="44"/>
      <c r="G53" s="44"/>
      <c r="H53" s="57" t="str">
        <f t="shared" si="1"/>
        <v/>
      </c>
      <c r="I53" s="57" t="str">
        <f>IF(AND(ISNUMBER(F53),ISNUMBER(G53)),IF(F53&gt;=Engagement!$C$42,IF(G53&gt;=Engagement!$C$42,"Quick win","Strategic initiative"),IF(G53&gt;=Engagement!$C$42,"Fill-in","Deprioritise")),"")</f>
        <v/>
      </c>
      <c r="J53" s="44"/>
      <c r="K53" s="75"/>
      <c r="L53" s="22"/>
      <c r="M53" s="22"/>
      <c r="N53" s="22"/>
      <c r="O53" s="44"/>
    </row>
    <row r="54" spans="1:15" ht="14" x14ac:dyDescent="0.15">
      <c r="A54" s="43" t="s">
        <v>3030</v>
      </c>
      <c r="B54" s="22"/>
      <c r="C54" s="22"/>
      <c r="D54" s="44"/>
      <c r="E54" s="22"/>
      <c r="F54" s="44"/>
      <c r="G54" s="44"/>
      <c r="H54" s="57" t="str">
        <f t="shared" si="1"/>
        <v/>
      </c>
      <c r="I54" s="57" t="str">
        <f>IF(AND(ISNUMBER(F54),ISNUMBER(G54)),IF(F54&gt;=Engagement!$C$42,IF(G54&gt;=Engagement!$C$42,"Quick win","Strategic initiative"),IF(G54&gt;=Engagement!$C$42,"Fill-in","Deprioritise")),"")</f>
        <v/>
      </c>
      <c r="J54" s="44"/>
      <c r="K54" s="75"/>
      <c r="L54" s="22"/>
      <c r="M54" s="22"/>
      <c r="N54" s="22"/>
      <c r="O54" s="44"/>
    </row>
    <row r="55" spans="1:15" ht="14" x14ac:dyDescent="0.15">
      <c r="A55" s="43" t="s">
        <v>3031</v>
      </c>
      <c r="B55" s="22"/>
      <c r="C55" s="22"/>
      <c r="D55" s="44"/>
      <c r="E55" s="22"/>
      <c r="F55" s="44"/>
      <c r="G55" s="44"/>
      <c r="H55" s="57" t="str">
        <f t="shared" si="1"/>
        <v/>
      </c>
      <c r="I55" s="57" t="str">
        <f>IF(AND(ISNUMBER(F55),ISNUMBER(G55)),IF(F55&gt;=Engagement!$C$42,IF(G55&gt;=Engagement!$C$42,"Quick win","Strategic initiative"),IF(G55&gt;=Engagement!$C$42,"Fill-in","Deprioritise")),"")</f>
        <v/>
      </c>
      <c r="J55" s="44"/>
      <c r="K55" s="75"/>
      <c r="L55" s="22"/>
      <c r="M55" s="22"/>
      <c r="N55" s="22"/>
      <c r="O55" s="44"/>
    </row>
    <row r="56" spans="1:15" ht="14" x14ac:dyDescent="0.15">
      <c r="A56" s="43" t="s">
        <v>3032</v>
      </c>
      <c r="B56" s="22"/>
      <c r="C56" s="22"/>
      <c r="D56" s="44"/>
      <c r="E56" s="22"/>
      <c r="F56" s="44"/>
      <c r="G56" s="44"/>
      <c r="H56" s="57" t="str">
        <f t="shared" si="1"/>
        <v/>
      </c>
      <c r="I56" s="57" t="str">
        <f>IF(AND(ISNUMBER(F56),ISNUMBER(G56)),IF(F56&gt;=Engagement!$C$42,IF(G56&gt;=Engagement!$C$42,"Quick win","Strategic initiative"),IF(G56&gt;=Engagement!$C$42,"Fill-in","Deprioritise")),"")</f>
        <v/>
      </c>
      <c r="J56" s="44"/>
      <c r="K56" s="75"/>
      <c r="L56" s="22"/>
      <c r="M56" s="22"/>
      <c r="N56" s="22"/>
      <c r="O56" s="44"/>
    </row>
    <row r="57" spans="1:15" ht="14" x14ac:dyDescent="0.15">
      <c r="A57" s="43" t="s">
        <v>3033</v>
      </c>
      <c r="B57" s="22"/>
      <c r="C57" s="22"/>
      <c r="D57" s="44"/>
      <c r="E57" s="22"/>
      <c r="F57" s="44"/>
      <c r="G57" s="44"/>
      <c r="H57" s="57" t="str">
        <f t="shared" si="1"/>
        <v/>
      </c>
      <c r="I57" s="57" t="str">
        <f>IF(AND(ISNUMBER(F57),ISNUMBER(G57)),IF(F57&gt;=Engagement!$C$42,IF(G57&gt;=Engagement!$C$42,"Quick win","Strategic initiative"),IF(G57&gt;=Engagement!$C$42,"Fill-in","Deprioritise")),"")</f>
        <v/>
      </c>
      <c r="J57" s="44"/>
      <c r="K57" s="75"/>
      <c r="L57" s="22"/>
      <c r="M57" s="22"/>
      <c r="N57" s="22"/>
      <c r="O57" s="44"/>
    </row>
    <row r="58" spans="1:15" ht="14" x14ac:dyDescent="0.15">
      <c r="A58" s="43" t="s">
        <v>3034</v>
      </c>
      <c r="B58" s="22"/>
      <c r="C58" s="22"/>
      <c r="D58" s="44"/>
      <c r="E58" s="22"/>
      <c r="F58" s="44"/>
      <c r="G58" s="44"/>
      <c r="H58" s="57" t="str">
        <f t="shared" si="1"/>
        <v/>
      </c>
      <c r="I58" s="57" t="str">
        <f>IF(AND(ISNUMBER(F58),ISNUMBER(G58)),IF(F58&gt;=Engagement!$C$42,IF(G58&gt;=Engagement!$C$42,"Quick win","Strategic initiative"),IF(G58&gt;=Engagement!$C$42,"Fill-in","Deprioritise")),"")</f>
        <v/>
      </c>
      <c r="J58" s="44"/>
      <c r="K58" s="75"/>
      <c r="L58" s="22"/>
      <c r="M58" s="22"/>
      <c r="N58" s="22"/>
      <c r="O58" s="44"/>
    </row>
    <row r="59" spans="1:15" ht="14" x14ac:dyDescent="0.15">
      <c r="A59" s="43" t="s">
        <v>3035</v>
      </c>
      <c r="B59" s="22"/>
      <c r="C59" s="22"/>
      <c r="D59" s="44"/>
      <c r="E59" s="22"/>
      <c r="F59" s="44"/>
      <c r="G59" s="44"/>
      <c r="H59" s="57" t="str">
        <f t="shared" si="1"/>
        <v/>
      </c>
      <c r="I59" s="57" t="str">
        <f>IF(AND(ISNUMBER(F59),ISNUMBER(G59)),IF(F59&gt;=Engagement!$C$42,IF(G59&gt;=Engagement!$C$42,"Quick win","Strategic initiative"),IF(G59&gt;=Engagement!$C$42,"Fill-in","Deprioritise")),"")</f>
        <v/>
      </c>
      <c r="J59" s="44"/>
      <c r="K59" s="75"/>
      <c r="L59" s="22"/>
      <c r="M59" s="22"/>
      <c r="N59" s="22"/>
      <c r="O59" s="44"/>
    </row>
    <row r="60" spans="1:15" ht="14" x14ac:dyDescent="0.15">
      <c r="A60" s="43" t="s">
        <v>3036</v>
      </c>
      <c r="B60" s="22"/>
      <c r="C60" s="22"/>
      <c r="D60" s="44"/>
      <c r="E60" s="22"/>
      <c r="F60" s="44"/>
      <c r="G60" s="44"/>
      <c r="H60" s="57" t="str">
        <f t="shared" si="1"/>
        <v/>
      </c>
      <c r="I60" s="57" t="str">
        <f>IF(AND(ISNUMBER(F60),ISNUMBER(G60)),IF(F60&gt;=Engagement!$C$42,IF(G60&gt;=Engagement!$C$42,"Quick win","Strategic initiative"),IF(G60&gt;=Engagement!$C$42,"Fill-in","Deprioritise")),"")</f>
        <v/>
      </c>
      <c r="J60" s="44"/>
      <c r="K60" s="75"/>
      <c r="L60" s="22"/>
      <c r="M60" s="22"/>
      <c r="N60" s="22"/>
      <c r="O60" s="44"/>
    </row>
    <row r="61" spans="1:15" ht="14" x14ac:dyDescent="0.15">
      <c r="A61" s="43" t="s">
        <v>3037</v>
      </c>
      <c r="B61" s="22"/>
      <c r="C61" s="22"/>
      <c r="D61" s="44"/>
      <c r="E61" s="22"/>
      <c r="F61" s="44"/>
      <c r="G61" s="44"/>
      <c r="H61" s="57" t="str">
        <f t="shared" si="1"/>
        <v/>
      </c>
      <c r="I61" s="57" t="str">
        <f>IF(AND(ISNUMBER(F61),ISNUMBER(G61)),IF(F61&gt;=Engagement!$C$42,IF(G61&gt;=Engagement!$C$42,"Quick win","Strategic initiative"),IF(G61&gt;=Engagement!$C$42,"Fill-in","Deprioritise")),"")</f>
        <v/>
      </c>
      <c r="J61" s="44"/>
      <c r="K61" s="75"/>
      <c r="L61" s="22"/>
      <c r="M61" s="22"/>
      <c r="N61" s="22"/>
      <c r="O61" s="44"/>
    </row>
    <row r="62" spans="1:15" ht="14" x14ac:dyDescent="0.15">
      <c r="A62" s="43" t="s">
        <v>3038</v>
      </c>
      <c r="B62" s="22"/>
      <c r="C62" s="22"/>
      <c r="D62" s="44"/>
      <c r="E62" s="22"/>
      <c r="F62" s="44"/>
      <c r="G62" s="44"/>
      <c r="H62" s="57" t="str">
        <f t="shared" si="1"/>
        <v/>
      </c>
      <c r="I62" s="57" t="str">
        <f>IF(AND(ISNUMBER(F62),ISNUMBER(G62)),IF(F62&gt;=Engagement!$C$42,IF(G62&gt;=Engagement!$C$42,"Quick win","Strategic initiative"),IF(G62&gt;=Engagement!$C$42,"Fill-in","Deprioritise")),"")</f>
        <v/>
      </c>
      <c r="J62" s="44"/>
      <c r="K62" s="75"/>
      <c r="L62" s="22"/>
      <c r="M62" s="22"/>
      <c r="N62" s="22"/>
      <c r="O62" s="44"/>
    </row>
    <row r="63" spans="1:15" ht="14" x14ac:dyDescent="0.15">
      <c r="A63" s="43" t="s">
        <v>3039</v>
      </c>
      <c r="B63" s="22"/>
      <c r="C63" s="22"/>
      <c r="D63" s="44"/>
      <c r="E63" s="22"/>
      <c r="F63" s="44"/>
      <c r="G63" s="44"/>
      <c r="H63" s="57" t="str">
        <f t="shared" si="1"/>
        <v/>
      </c>
      <c r="I63" s="57" t="str">
        <f>IF(AND(ISNUMBER(F63),ISNUMBER(G63)),IF(F63&gt;=Engagement!$C$42,IF(G63&gt;=Engagement!$C$42,"Quick win","Strategic initiative"),IF(G63&gt;=Engagement!$C$42,"Fill-in","Deprioritise")),"")</f>
        <v/>
      </c>
      <c r="J63" s="44"/>
      <c r="K63" s="75"/>
      <c r="L63" s="22"/>
      <c r="M63" s="22"/>
      <c r="N63" s="22"/>
      <c r="O63" s="44"/>
    </row>
    <row r="64" spans="1:15" ht="14" x14ac:dyDescent="0.15">
      <c r="A64" s="43" t="s">
        <v>3040</v>
      </c>
      <c r="B64" s="22"/>
      <c r="C64" s="22"/>
      <c r="D64" s="44"/>
      <c r="E64" s="22"/>
      <c r="F64" s="44"/>
      <c r="G64" s="44"/>
      <c r="H64" s="57" t="str">
        <f t="shared" si="1"/>
        <v/>
      </c>
      <c r="I64" s="57" t="str">
        <f>IF(AND(ISNUMBER(F64),ISNUMBER(G64)),IF(F64&gt;=Engagement!$C$42,IF(G64&gt;=Engagement!$C$42,"Quick win","Strategic initiative"),IF(G64&gt;=Engagement!$C$42,"Fill-in","Deprioritise")),"")</f>
        <v/>
      </c>
      <c r="J64" s="44"/>
      <c r="K64" s="75"/>
      <c r="L64" s="22"/>
      <c r="M64" s="22"/>
      <c r="N64" s="22"/>
      <c r="O64" s="44"/>
    </row>
    <row r="65" spans="1:15" ht="14" x14ac:dyDescent="0.15">
      <c r="A65" s="43" t="s">
        <v>3041</v>
      </c>
      <c r="B65" s="22"/>
      <c r="C65" s="22"/>
      <c r="D65" s="44"/>
      <c r="E65" s="22"/>
      <c r="F65" s="44"/>
      <c r="G65" s="44"/>
      <c r="H65" s="57" t="str">
        <f t="shared" si="1"/>
        <v/>
      </c>
      <c r="I65" s="57" t="str">
        <f>IF(AND(ISNUMBER(F65),ISNUMBER(G65)),IF(F65&gt;=Engagement!$C$42,IF(G65&gt;=Engagement!$C$42,"Quick win","Strategic initiative"),IF(G65&gt;=Engagement!$C$42,"Fill-in","Deprioritise")),"")</f>
        <v/>
      </c>
      <c r="J65" s="44"/>
      <c r="K65" s="75"/>
      <c r="L65" s="22"/>
      <c r="M65" s="22"/>
      <c r="N65" s="22"/>
      <c r="O65" s="44"/>
    </row>
    <row r="66" spans="1:15" ht="14" x14ac:dyDescent="0.15">
      <c r="A66" s="43" t="s">
        <v>3042</v>
      </c>
      <c r="B66" s="22"/>
      <c r="C66" s="22"/>
      <c r="D66" s="44"/>
      <c r="E66" s="22"/>
      <c r="F66" s="44"/>
      <c r="G66" s="44"/>
      <c r="H66" s="57" t="str">
        <f t="shared" si="1"/>
        <v/>
      </c>
      <c r="I66" s="57" t="str">
        <f>IF(AND(ISNUMBER(F66),ISNUMBER(G66)),IF(F66&gt;=Engagement!$C$42,IF(G66&gt;=Engagement!$C$42,"Quick win","Strategic initiative"),IF(G66&gt;=Engagement!$C$42,"Fill-in","Deprioritise")),"")</f>
        <v/>
      </c>
      <c r="J66" s="44"/>
      <c r="K66" s="75"/>
      <c r="L66" s="22"/>
      <c r="M66" s="22"/>
      <c r="N66" s="22"/>
      <c r="O66" s="44"/>
    </row>
    <row r="67" spans="1:15" ht="14" x14ac:dyDescent="0.15">
      <c r="A67" s="43" t="s">
        <v>3043</v>
      </c>
      <c r="B67" s="22"/>
      <c r="C67" s="22"/>
      <c r="D67" s="44"/>
      <c r="E67" s="22"/>
      <c r="F67" s="44"/>
      <c r="G67" s="44"/>
      <c r="H67" s="57" t="str">
        <f t="shared" si="1"/>
        <v/>
      </c>
      <c r="I67" s="57" t="str">
        <f>IF(AND(ISNUMBER(F67),ISNUMBER(G67)),IF(F67&gt;=Engagement!$C$42,IF(G67&gt;=Engagement!$C$42,"Quick win","Strategic initiative"),IF(G67&gt;=Engagement!$C$42,"Fill-in","Deprioritise")),"")</f>
        <v/>
      </c>
      <c r="J67" s="44"/>
      <c r="K67" s="75"/>
      <c r="L67" s="22"/>
      <c r="M67" s="22"/>
      <c r="N67" s="22"/>
      <c r="O67" s="44"/>
    </row>
    <row r="68" spans="1:15" ht="14" x14ac:dyDescent="0.15">
      <c r="A68" s="43" t="s">
        <v>3044</v>
      </c>
      <c r="B68" s="22"/>
      <c r="C68" s="22"/>
      <c r="D68" s="44"/>
      <c r="E68" s="22"/>
      <c r="F68" s="44"/>
      <c r="G68" s="44"/>
      <c r="H68" s="57" t="str">
        <f t="shared" si="1"/>
        <v/>
      </c>
      <c r="I68" s="57" t="str">
        <f>IF(AND(ISNUMBER(F68),ISNUMBER(G68)),IF(F68&gt;=Engagement!$C$42,IF(G68&gt;=Engagement!$C$42,"Quick win","Strategic initiative"),IF(G68&gt;=Engagement!$C$42,"Fill-in","Deprioritise")),"")</f>
        <v/>
      </c>
      <c r="J68" s="44"/>
      <c r="K68" s="75"/>
      <c r="L68" s="22"/>
      <c r="M68" s="22"/>
      <c r="N68" s="22"/>
      <c r="O68" s="44"/>
    </row>
    <row r="69" spans="1:15" ht="14" x14ac:dyDescent="0.15">
      <c r="A69" s="43" t="s">
        <v>3045</v>
      </c>
      <c r="B69" s="22"/>
      <c r="C69" s="22"/>
      <c r="D69" s="44"/>
      <c r="E69" s="22"/>
      <c r="F69" s="44"/>
      <c r="G69" s="44"/>
      <c r="H69" s="57" t="str">
        <f t="shared" si="1"/>
        <v/>
      </c>
      <c r="I69" s="57" t="str">
        <f>IF(AND(ISNUMBER(F69),ISNUMBER(G69)),IF(F69&gt;=Engagement!$C$42,IF(G69&gt;=Engagement!$C$42,"Quick win","Strategic initiative"),IF(G69&gt;=Engagement!$C$42,"Fill-in","Deprioritise")),"")</f>
        <v/>
      </c>
      <c r="J69" s="44"/>
      <c r="K69" s="75"/>
      <c r="L69" s="22"/>
      <c r="M69" s="22"/>
      <c r="N69" s="22"/>
      <c r="O69" s="44"/>
    </row>
    <row r="70" spans="1:15" ht="14" x14ac:dyDescent="0.15">
      <c r="A70" s="43" t="s">
        <v>3046</v>
      </c>
      <c r="B70" s="22"/>
      <c r="C70" s="22"/>
      <c r="D70" s="44"/>
      <c r="E70" s="22"/>
      <c r="F70" s="44"/>
      <c r="G70" s="44"/>
      <c r="H70" s="57" t="str">
        <f t="shared" ref="H70:H101" si="2">IF(AND(ISNUMBER(F70),ISNUMBER(G70)),F70*G70,"")</f>
        <v/>
      </c>
      <c r="I70" s="57" t="str">
        <f>IF(AND(ISNUMBER(F70),ISNUMBER(G70)),IF(F70&gt;=Engagement!$C$42,IF(G70&gt;=Engagement!$C$42,"Quick win","Strategic initiative"),IF(G70&gt;=Engagement!$C$42,"Fill-in","Deprioritise")),"")</f>
        <v/>
      </c>
      <c r="J70" s="44"/>
      <c r="K70" s="75"/>
      <c r="L70" s="22"/>
      <c r="M70" s="22"/>
      <c r="N70" s="22"/>
      <c r="O70" s="44"/>
    </row>
    <row r="71" spans="1:15" ht="14" x14ac:dyDescent="0.15">
      <c r="A71" s="43" t="s">
        <v>3047</v>
      </c>
      <c r="B71" s="22"/>
      <c r="C71" s="22"/>
      <c r="D71" s="44"/>
      <c r="E71" s="22"/>
      <c r="F71" s="44"/>
      <c r="G71" s="44"/>
      <c r="H71" s="57" t="str">
        <f t="shared" si="2"/>
        <v/>
      </c>
      <c r="I71" s="57" t="str">
        <f>IF(AND(ISNUMBER(F71),ISNUMBER(G71)),IF(F71&gt;=Engagement!$C$42,IF(G71&gt;=Engagement!$C$42,"Quick win","Strategic initiative"),IF(G71&gt;=Engagement!$C$42,"Fill-in","Deprioritise")),"")</f>
        <v/>
      </c>
      <c r="J71" s="44"/>
      <c r="K71" s="75"/>
      <c r="L71" s="22"/>
      <c r="M71" s="22"/>
      <c r="N71" s="22"/>
      <c r="O71" s="44"/>
    </row>
    <row r="72" spans="1:15" ht="14" x14ac:dyDescent="0.15">
      <c r="A72" s="43" t="s">
        <v>3048</v>
      </c>
      <c r="B72" s="22"/>
      <c r="C72" s="22"/>
      <c r="D72" s="44"/>
      <c r="E72" s="22"/>
      <c r="F72" s="44"/>
      <c r="G72" s="44"/>
      <c r="H72" s="57" t="str">
        <f t="shared" si="2"/>
        <v/>
      </c>
      <c r="I72" s="57" t="str">
        <f>IF(AND(ISNUMBER(F72),ISNUMBER(G72)),IF(F72&gt;=Engagement!$C$42,IF(G72&gt;=Engagement!$C$42,"Quick win","Strategic initiative"),IF(G72&gt;=Engagement!$C$42,"Fill-in","Deprioritise")),"")</f>
        <v/>
      </c>
      <c r="J72" s="44"/>
      <c r="K72" s="75"/>
      <c r="L72" s="22"/>
      <c r="M72" s="22"/>
      <c r="N72" s="22"/>
      <c r="O72" s="44"/>
    </row>
    <row r="73" spans="1:15" ht="14" x14ac:dyDescent="0.15">
      <c r="A73" s="43" t="s">
        <v>3049</v>
      </c>
      <c r="B73" s="22"/>
      <c r="C73" s="22"/>
      <c r="D73" s="44"/>
      <c r="E73" s="22"/>
      <c r="F73" s="44"/>
      <c r="G73" s="44"/>
      <c r="H73" s="57" t="str">
        <f t="shared" si="2"/>
        <v/>
      </c>
      <c r="I73" s="57" t="str">
        <f>IF(AND(ISNUMBER(F73),ISNUMBER(G73)),IF(F73&gt;=Engagement!$C$42,IF(G73&gt;=Engagement!$C$42,"Quick win","Strategic initiative"),IF(G73&gt;=Engagement!$C$42,"Fill-in","Deprioritise")),"")</f>
        <v/>
      </c>
      <c r="J73" s="44"/>
      <c r="K73" s="75"/>
      <c r="L73" s="22"/>
      <c r="M73" s="22"/>
      <c r="N73" s="22"/>
      <c r="O73" s="44"/>
    </row>
    <row r="74" spans="1:15" ht="14" x14ac:dyDescent="0.15">
      <c r="A74" s="43" t="s">
        <v>3050</v>
      </c>
      <c r="B74" s="22"/>
      <c r="C74" s="22"/>
      <c r="D74" s="44"/>
      <c r="E74" s="22"/>
      <c r="F74" s="44"/>
      <c r="G74" s="44"/>
      <c r="H74" s="57" t="str">
        <f t="shared" si="2"/>
        <v/>
      </c>
      <c r="I74" s="57" t="str">
        <f>IF(AND(ISNUMBER(F74),ISNUMBER(G74)),IF(F74&gt;=Engagement!$C$42,IF(G74&gt;=Engagement!$C$42,"Quick win","Strategic initiative"),IF(G74&gt;=Engagement!$C$42,"Fill-in","Deprioritise")),"")</f>
        <v/>
      </c>
      <c r="J74" s="44"/>
      <c r="K74" s="75"/>
      <c r="L74" s="22"/>
      <c r="M74" s="22"/>
      <c r="N74" s="22"/>
      <c r="O74" s="44"/>
    </row>
    <row r="75" spans="1:15" ht="14" x14ac:dyDescent="0.15">
      <c r="A75" s="43" t="s">
        <v>3051</v>
      </c>
      <c r="B75" s="22"/>
      <c r="C75" s="22"/>
      <c r="D75" s="44"/>
      <c r="E75" s="22"/>
      <c r="F75" s="44"/>
      <c r="G75" s="44"/>
      <c r="H75" s="57" t="str">
        <f t="shared" si="2"/>
        <v/>
      </c>
      <c r="I75" s="57" t="str">
        <f>IF(AND(ISNUMBER(F75),ISNUMBER(G75)),IF(F75&gt;=Engagement!$C$42,IF(G75&gt;=Engagement!$C$42,"Quick win","Strategic initiative"),IF(G75&gt;=Engagement!$C$42,"Fill-in","Deprioritise")),"")</f>
        <v/>
      </c>
      <c r="J75" s="44"/>
      <c r="K75" s="75"/>
      <c r="L75" s="22"/>
      <c r="M75" s="22"/>
      <c r="N75" s="22"/>
      <c r="O75" s="44"/>
    </row>
    <row r="76" spans="1:15" ht="14" x14ac:dyDescent="0.15">
      <c r="A76" s="43" t="s">
        <v>3052</v>
      </c>
      <c r="B76" s="22"/>
      <c r="C76" s="22"/>
      <c r="D76" s="44"/>
      <c r="E76" s="22"/>
      <c r="F76" s="44"/>
      <c r="G76" s="44"/>
      <c r="H76" s="57" t="str">
        <f t="shared" si="2"/>
        <v/>
      </c>
      <c r="I76" s="57" t="str">
        <f>IF(AND(ISNUMBER(F76),ISNUMBER(G76)),IF(F76&gt;=Engagement!$C$42,IF(G76&gt;=Engagement!$C$42,"Quick win","Strategic initiative"),IF(G76&gt;=Engagement!$C$42,"Fill-in","Deprioritise")),"")</f>
        <v/>
      </c>
      <c r="J76" s="44"/>
      <c r="K76" s="75"/>
      <c r="L76" s="22"/>
      <c r="M76" s="22"/>
      <c r="N76" s="22"/>
      <c r="O76" s="44"/>
    </row>
    <row r="77" spans="1:15" ht="14" x14ac:dyDescent="0.15">
      <c r="A77" s="43" t="s">
        <v>3053</v>
      </c>
      <c r="B77" s="22"/>
      <c r="C77" s="22"/>
      <c r="D77" s="44"/>
      <c r="E77" s="22"/>
      <c r="F77" s="44"/>
      <c r="G77" s="44"/>
      <c r="H77" s="57" t="str">
        <f t="shared" si="2"/>
        <v/>
      </c>
      <c r="I77" s="57" t="str">
        <f>IF(AND(ISNUMBER(F77),ISNUMBER(G77)),IF(F77&gt;=Engagement!$C$42,IF(G77&gt;=Engagement!$C$42,"Quick win","Strategic initiative"),IF(G77&gt;=Engagement!$C$42,"Fill-in","Deprioritise")),"")</f>
        <v/>
      </c>
      <c r="J77" s="44"/>
      <c r="K77" s="75"/>
      <c r="L77" s="22"/>
      <c r="M77" s="22"/>
      <c r="N77" s="22"/>
      <c r="O77" s="44"/>
    </row>
    <row r="78" spans="1:15" ht="14" x14ac:dyDescent="0.15">
      <c r="A78" s="43" t="s">
        <v>3054</v>
      </c>
      <c r="B78" s="22"/>
      <c r="C78" s="22"/>
      <c r="D78" s="44"/>
      <c r="E78" s="22"/>
      <c r="F78" s="44"/>
      <c r="G78" s="44"/>
      <c r="H78" s="57" t="str">
        <f t="shared" si="2"/>
        <v/>
      </c>
      <c r="I78" s="57" t="str">
        <f>IF(AND(ISNUMBER(F78),ISNUMBER(G78)),IF(F78&gt;=Engagement!$C$42,IF(G78&gt;=Engagement!$C$42,"Quick win","Strategic initiative"),IF(G78&gt;=Engagement!$C$42,"Fill-in","Deprioritise")),"")</f>
        <v/>
      </c>
      <c r="J78" s="44"/>
      <c r="K78" s="75"/>
      <c r="L78" s="22"/>
      <c r="M78" s="22"/>
      <c r="N78" s="22"/>
      <c r="O78" s="44"/>
    </row>
    <row r="79" spans="1:15" ht="14" x14ac:dyDescent="0.15">
      <c r="A79" s="43" t="s">
        <v>3055</v>
      </c>
      <c r="B79" s="22"/>
      <c r="C79" s="22"/>
      <c r="D79" s="44"/>
      <c r="E79" s="22"/>
      <c r="F79" s="44"/>
      <c r="G79" s="44"/>
      <c r="H79" s="57" t="str">
        <f t="shared" si="2"/>
        <v/>
      </c>
      <c r="I79" s="57" t="str">
        <f>IF(AND(ISNUMBER(F79),ISNUMBER(G79)),IF(F79&gt;=Engagement!$C$42,IF(G79&gt;=Engagement!$C$42,"Quick win","Strategic initiative"),IF(G79&gt;=Engagement!$C$42,"Fill-in","Deprioritise")),"")</f>
        <v/>
      </c>
      <c r="J79" s="44"/>
      <c r="K79" s="75"/>
      <c r="L79" s="22"/>
      <c r="M79" s="22"/>
      <c r="N79" s="22"/>
      <c r="O79" s="44"/>
    </row>
    <row r="80" spans="1:15" ht="14" x14ac:dyDescent="0.15">
      <c r="A80" s="43" t="s">
        <v>3056</v>
      </c>
      <c r="B80" s="22"/>
      <c r="C80" s="22"/>
      <c r="D80" s="44"/>
      <c r="E80" s="22"/>
      <c r="F80" s="44"/>
      <c r="G80" s="44"/>
      <c r="H80" s="57" t="str">
        <f t="shared" si="2"/>
        <v/>
      </c>
      <c r="I80" s="57" t="str">
        <f>IF(AND(ISNUMBER(F80),ISNUMBER(G80)),IF(F80&gt;=Engagement!$C$42,IF(G80&gt;=Engagement!$C$42,"Quick win","Strategic initiative"),IF(G80&gt;=Engagement!$C$42,"Fill-in","Deprioritise")),"")</f>
        <v/>
      </c>
      <c r="J80" s="44"/>
      <c r="K80" s="75"/>
      <c r="L80" s="22"/>
      <c r="M80" s="22"/>
      <c r="N80" s="22"/>
      <c r="O80" s="44"/>
    </row>
    <row r="81" spans="1:15" ht="14" x14ac:dyDescent="0.15">
      <c r="A81" s="43" t="s">
        <v>3057</v>
      </c>
      <c r="B81" s="22"/>
      <c r="C81" s="22"/>
      <c r="D81" s="44"/>
      <c r="E81" s="22"/>
      <c r="F81" s="44"/>
      <c r="G81" s="44"/>
      <c r="H81" s="57" t="str">
        <f t="shared" si="2"/>
        <v/>
      </c>
      <c r="I81" s="57" t="str">
        <f>IF(AND(ISNUMBER(F81),ISNUMBER(G81)),IF(F81&gt;=Engagement!$C$42,IF(G81&gt;=Engagement!$C$42,"Quick win","Strategic initiative"),IF(G81&gt;=Engagement!$C$42,"Fill-in","Deprioritise")),"")</f>
        <v/>
      </c>
      <c r="J81" s="44"/>
      <c r="K81" s="75"/>
      <c r="L81" s="22"/>
      <c r="M81" s="22"/>
      <c r="N81" s="22"/>
      <c r="O81" s="44"/>
    </row>
    <row r="82" spans="1:15" ht="14" x14ac:dyDescent="0.15">
      <c r="A82" s="43" t="s">
        <v>3058</v>
      </c>
      <c r="B82" s="22"/>
      <c r="C82" s="22"/>
      <c r="D82" s="44"/>
      <c r="E82" s="22"/>
      <c r="F82" s="44"/>
      <c r="G82" s="44"/>
      <c r="H82" s="57" t="str">
        <f t="shared" si="2"/>
        <v/>
      </c>
      <c r="I82" s="57" t="str">
        <f>IF(AND(ISNUMBER(F82),ISNUMBER(G82)),IF(F82&gt;=Engagement!$C$42,IF(G82&gt;=Engagement!$C$42,"Quick win","Strategic initiative"),IF(G82&gt;=Engagement!$C$42,"Fill-in","Deprioritise")),"")</f>
        <v/>
      </c>
      <c r="J82" s="44"/>
      <c r="K82" s="75"/>
      <c r="L82" s="22"/>
      <c r="M82" s="22"/>
      <c r="N82" s="22"/>
      <c r="O82" s="44"/>
    </row>
    <row r="83" spans="1:15" ht="14" x14ac:dyDescent="0.15">
      <c r="A83" s="43" t="s">
        <v>3059</v>
      </c>
      <c r="B83" s="22"/>
      <c r="C83" s="22"/>
      <c r="D83" s="44"/>
      <c r="E83" s="22"/>
      <c r="F83" s="44"/>
      <c r="G83" s="44"/>
      <c r="H83" s="57" t="str">
        <f t="shared" si="2"/>
        <v/>
      </c>
      <c r="I83" s="57" t="str">
        <f>IF(AND(ISNUMBER(F83),ISNUMBER(G83)),IF(F83&gt;=Engagement!$C$42,IF(G83&gt;=Engagement!$C$42,"Quick win","Strategic initiative"),IF(G83&gt;=Engagement!$C$42,"Fill-in","Deprioritise")),"")</f>
        <v/>
      </c>
      <c r="J83" s="44"/>
      <c r="K83" s="75"/>
      <c r="L83" s="22"/>
      <c r="M83" s="22"/>
      <c r="N83" s="22"/>
      <c r="O83" s="44"/>
    </row>
    <row r="84" spans="1:15" ht="14" x14ac:dyDescent="0.15">
      <c r="A84" s="43" t="s">
        <v>3060</v>
      </c>
      <c r="B84" s="22"/>
      <c r="C84" s="22"/>
      <c r="D84" s="44"/>
      <c r="E84" s="22"/>
      <c r="F84" s="44"/>
      <c r="G84" s="44"/>
      <c r="H84" s="57" t="str">
        <f t="shared" si="2"/>
        <v/>
      </c>
      <c r="I84" s="57" t="str">
        <f>IF(AND(ISNUMBER(F84),ISNUMBER(G84)),IF(F84&gt;=Engagement!$C$42,IF(G84&gt;=Engagement!$C$42,"Quick win","Strategic initiative"),IF(G84&gt;=Engagement!$C$42,"Fill-in","Deprioritise")),"")</f>
        <v/>
      </c>
      <c r="J84" s="44"/>
      <c r="K84" s="75"/>
      <c r="L84" s="22"/>
      <c r="M84" s="22"/>
      <c r="N84" s="22"/>
      <c r="O84" s="44"/>
    </row>
    <row r="85" spans="1:15" ht="14" x14ac:dyDescent="0.15">
      <c r="A85" s="43" t="s">
        <v>3061</v>
      </c>
      <c r="B85" s="22"/>
      <c r="C85" s="22"/>
      <c r="D85" s="44"/>
      <c r="E85" s="22"/>
      <c r="F85" s="44"/>
      <c r="G85" s="44"/>
      <c r="H85" s="57" t="str">
        <f t="shared" si="2"/>
        <v/>
      </c>
      <c r="I85" s="57" t="str">
        <f>IF(AND(ISNUMBER(F85),ISNUMBER(G85)),IF(F85&gt;=Engagement!$C$42,IF(G85&gt;=Engagement!$C$42,"Quick win","Strategic initiative"),IF(G85&gt;=Engagement!$C$42,"Fill-in","Deprioritise")),"")</f>
        <v/>
      </c>
      <c r="J85" s="44"/>
      <c r="K85" s="75"/>
      <c r="L85" s="22"/>
      <c r="M85" s="22"/>
      <c r="N85" s="22"/>
      <c r="O85" s="44"/>
    </row>
    <row r="86" spans="1:15" ht="14" x14ac:dyDescent="0.15">
      <c r="A86" s="43" t="s">
        <v>3062</v>
      </c>
      <c r="B86" s="22"/>
      <c r="C86" s="22"/>
      <c r="D86" s="44"/>
      <c r="E86" s="22"/>
      <c r="F86" s="44"/>
      <c r="G86" s="44"/>
      <c r="H86" s="57" t="str">
        <f t="shared" si="2"/>
        <v/>
      </c>
      <c r="I86" s="57" t="str">
        <f>IF(AND(ISNUMBER(F86),ISNUMBER(G86)),IF(F86&gt;=Engagement!$C$42,IF(G86&gt;=Engagement!$C$42,"Quick win","Strategic initiative"),IF(G86&gt;=Engagement!$C$42,"Fill-in","Deprioritise")),"")</f>
        <v/>
      </c>
      <c r="J86" s="44"/>
      <c r="K86" s="75"/>
      <c r="L86" s="22"/>
      <c r="M86" s="22"/>
      <c r="N86" s="22"/>
      <c r="O86" s="44"/>
    </row>
    <row r="87" spans="1:15" ht="15" customHeight="1" x14ac:dyDescent="0.15">
      <c r="B87" s="4" t="s">
        <v>3063</v>
      </c>
      <c r="C87" s="4"/>
      <c r="D87" s="4"/>
      <c r="E87" s="4"/>
      <c r="F87" s="4"/>
      <c r="G87" s="4"/>
      <c r="H87" s="4"/>
      <c r="I87" s="4"/>
      <c r="J87" s="4"/>
      <c r="K87" s="82">
        <f>SUMIF($A$6:$A$86,"&lt;&gt;Example",K6:K86)</f>
        <v>0</v>
      </c>
    </row>
  </sheetData>
  <autoFilter ref="A5:O86" xr:uid="{00000000-0009-0000-0000-000013000000}"/>
  <mergeCells count="1">
    <mergeCell ref="B87:J87"/>
  </mergeCells>
  <conditionalFormatting sqref="H6:H86">
    <cfRule type="dataBar" priority="6">
      <dataBar>
        <cfvo type="num" val="0"/>
        <cfvo type="num" val="25"/>
        <color rgb="FF70AD47"/>
      </dataBar>
      <extLst>
        <ext xmlns:x14="http://schemas.microsoft.com/office/spreadsheetml/2009/9/main" uri="{B025F937-C7B1-47D3-B67F-A62EFF666E3E}">
          <x14:id>{45CF7642-C69C-46DA-B5E2-5BA96AD2A471}</x14:id>
        </ext>
      </extLst>
    </cfRule>
  </conditionalFormatting>
  <conditionalFormatting sqref="I6:I86">
    <cfRule type="cellIs" dxfId="3" priority="2" operator="equal">
      <formula>"Quick win"</formula>
    </cfRule>
    <cfRule type="cellIs" dxfId="2" priority="3" operator="equal">
      <formula>"Strategic initiative"</formula>
    </cfRule>
    <cfRule type="cellIs" dxfId="1" priority="4" operator="equal">
      <formula>"Fill-in"</formula>
    </cfRule>
    <cfRule type="cellIs" dxfId="0" priority="5" operator="equal">
      <formula>"Deprioritise"</formula>
    </cfRule>
  </conditionalFormatting>
  <dataValidations count="1">
    <dataValidation type="whole" allowBlank="1" showErrorMessage="1" error="Enter a whole number between 1 and 5." sqref="F6:G86" xr:uid="{00000000-0002-0000-1300-000000000000}">
      <formula1>1</formula1>
      <formula2>5</formula2>
    </dataValidation>
  </dataValidations>
  <pageMargins left="0.4" right="0.4" top="0.5" bottom="0.5" header="0.511811023622047" footer="0.5"/>
  <pageSetup paperSize="9" fitToHeight="0" orientation="landscape" horizontalDpi="300" verticalDpi="300"/>
  <headerFooter>
    <oddFooter>&amp;L&amp;8 CTO Consulting | Operating Model Assessment Toolkit&amp;R&amp;8 &amp;A | Page 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CF7642-C69C-46DA-B5E2-5BA96AD2A471}">
            <x14:dataBar axisPosition="none">
              <x14:cfvo type="num">
                <xm:f>0</xm:f>
              </x14:cfvo>
              <x14:cfvo type="num">
                <xm:f>25</xm:f>
              </x14:cfvo>
              <x14:negativeFillColor rgb="FF70AD47"/>
            </x14:dataBar>
          </x14:cfRule>
          <xm:sqref>H6:H86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Invalid entry" error="Please select a value from the list (values are maintained on the Lists tab)." xr:uid="{00000000-0002-0000-1300-000001000000}">
          <x14:formula1>
            <xm:f>Lists!$A$2:$A$18</xm:f>
          </x14:formula1>
          <x14:formula2>
            <xm:f>0</xm:f>
          </x14:formula2>
          <xm:sqref>B6:B86</xm:sqref>
        </x14:dataValidation>
        <x14:dataValidation type="list" allowBlank="1" showErrorMessage="1" errorTitle="Invalid entry" error="Please select a value from the list (values are maintained on the Lists tab)." xr:uid="{00000000-0002-0000-1300-000002000000}">
          <x14:formula1>
            <xm:f>Lists!$L$2:$L$5</xm:f>
          </x14:formula1>
          <x14:formula2>
            <xm:f>0</xm:f>
          </x14:formula2>
          <xm:sqref>J6:J86</xm:sqref>
        </x14:dataValidation>
        <x14:dataValidation type="list" allowBlank="1" showErrorMessage="1" errorTitle="Invalid entry" error="Please select a value from the list (values are maintained on the Lists tab)." xr:uid="{00000000-0002-0000-1300-000003000000}">
          <x14:formula1>
            <xm:f>Lists!$K$2:$K$6</xm:f>
          </x14:formula1>
          <x14:formula2>
            <xm:f>0</xm:f>
          </x14:formula2>
          <xm:sqref>O6:O86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7F7F7F"/>
  </sheetPr>
  <dimension ref="A1:AJ18"/>
  <sheetViews>
    <sheetView showGridLines="0" zoomScale="90" zoomScaleNormal="90" workbookViewId="0">
      <pane ySplit="1" topLeftCell="A2" activePane="bottomLeft" state="frozen"/>
      <selection pane="bottomLeft"/>
    </sheetView>
  </sheetViews>
  <sheetFormatPr baseColWidth="10" defaultColWidth="8.6640625" defaultRowHeight="13" x14ac:dyDescent="0.15"/>
  <cols>
    <col min="1" max="1" width="34" customWidth="1"/>
    <col min="2" max="2" width="16" customWidth="1"/>
    <col min="3" max="3" width="19" customWidth="1"/>
    <col min="4" max="4" width="21" customWidth="1"/>
    <col min="5" max="5" width="14" customWidth="1"/>
    <col min="6" max="6" width="24" customWidth="1"/>
    <col min="7" max="7" width="20" customWidth="1"/>
    <col min="8" max="9" width="14" customWidth="1"/>
    <col min="10" max="10" width="16" customWidth="1"/>
    <col min="11" max="11" width="23" customWidth="1"/>
    <col min="12" max="12" width="14" customWidth="1"/>
    <col min="13" max="13" width="25" customWidth="1"/>
    <col min="14" max="14" width="34" customWidth="1"/>
    <col min="15" max="15" width="18" customWidth="1"/>
    <col min="16" max="17" width="20" customWidth="1"/>
    <col min="18" max="18" width="16" customWidth="1"/>
    <col min="19" max="19" width="21" customWidth="1"/>
    <col min="20" max="20" width="28" customWidth="1"/>
    <col min="21" max="21" width="18" customWidth="1"/>
    <col min="22" max="22" width="21" customWidth="1"/>
    <col min="23" max="23" width="28" customWidth="1"/>
    <col min="24" max="24" width="25" customWidth="1"/>
    <col min="25" max="25" width="23" customWidth="1"/>
    <col min="26" max="26" width="21" customWidth="1"/>
    <col min="27" max="27" width="14" customWidth="1"/>
    <col min="28" max="28" width="19" customWidth="1"/>
    <col min="29" max="29" width="18" customWidth="1"/>
    <col min="31" max="31" width="30" customWidth="1"/>
    <col min="32" max="33" width="10" customWidth="1"/>
    <col min="35" max="35" width="14" customWidth="1"/>
    <col min="36" max="36" width="10" customWidth="1"/>
  </cols>
  <sheetData>
    <row r="1" spans="1:36" ht="31.5" customHeight="1" x14ac:dyDescent="0.15">
      <c r="A1" s="29" t="s">
        <v>509</v>
      </c>
      <c r="B1" s="29" t="s">
        <v>3064</v>
      </c>
      <c r="C1" s="29" t="s">
        <v>3065</v>
      </c>
      <c r="D1" s="29" t="s">
        <v>3066</v>
      </c>
      <c r="E1" s="29" t="s">
        <v>929</v>
      </c>
      <c r="F1" s="29" t="s">
        <v>3067</v>
      </c>
      <c r="G1" s="29" t="s">
        <v>3068</v>
      </c>
      <c r="H1" s="29" t="s">
        <v>3069</v>
      </c>
      <c r="I1" s="29" t="s">
        <v>3070</v>
      </c>
      <c r="J1" s="29" t="s">
        <v>3071</v>
      </c>
      <c r="K1" s="29" t="s">
        <v>3072</v>
      </c>
      <c r="L1" s="29" t="s">
        <v>2973</v>
      </c>
      <c r="M1" s="29" t="s">
        <v>3073</v>
      </c>
      <c r="N1" s="29" t="s">
        <v>428</v>
      </c>
      <c r="O1" s="29" t="s">
        <v>3074</v>
      </c>
      <c r="P1" s="29" t="s">
        <v>3075</v>
      </c>
      <c r="Q1" s="29" t="s">
        <v>1882</v>
      </c>
      <c r="R1" s="29" t="s">
        <v>1887</v>
      </c>
      <c r="S1" s="29" t="s">
        <v>2086</v>
      </c>
      <c r="T1" s="29" t="s">
        <v>2337</v>
      </c>
      <c r="U1" s="29" t="s">
        <v>2342</v>
      </c>
      <c r="V1" s="29" t="s">
        <v>2347</v>
      </c>
      <c r="W1" s="29" t="s">
        <v>3076</v>
      </c>
      <c r="X1" s="29" t="s">
        <v>2529</v>
      </c>
      <c r="Y1" s="29" t="s">
        <v>2644</v>
      </c>
      <c r="Z1" s="29" t="s">
        <v>2649</v>
      </c>
      <c r="AA1" s="29" t="s">
        <v>3077</v>
      </c>
      <c r="AB1" s="29" t="s">
        <v>106</v>
      </c>
      <c r="AC1" s="29" t="s">
        <v>3078</v>
      </c>
      <c r="AE1" s="20" t="s">
        <v>2211</v>
      </c>
      <c r="AF1" s="20" t="s">
        <v>3079</v>
      </c>
      <c r="AG1" s="20" t="s">
        <v>3080</v>
      </c>
      <c r="AI1" s="20" t="s">
        <v>3081</v>
      </c>
      <c r="AJ1" s="20" t="s">
        <v>3082</v>
      </c>
    </row>
    <row r="2" spans="1:36" x14ac:dyDescent="0.15">
      <c r="A2" s="105" t="s">
        <v>168</v>
      </c>
      <c r="B2" s="105">
        <v>1</v>
      </c>
      <c r="C2" s="105">
        <v>1</v>
      </c>
      <c r="D2" s="105" t="s">
        <v>441</v>
      </c>
      <c r="E2" s="105" t="s">
        <v>3083</v>
      </c>
      <c r="F2" s="105" t="s">
        <v>2357</v>
      </c>
      <c r="G2" s="105" t="s">
        <v>2534</v>
      </c>
      <c r="H2" s="105" t="s">
        <v>2534</v>
      </c>
      <c r="I2" s="105" t="s">
        <v>2534</v>
      </c>
      <c r="J2" s="105" t="s">
        <v>3084</v>
      </c>
      <c r="K2" s="105" t="s">
        <v>153</v>
      </c>
      <c r="L2" s="105" t="s">
        <v>2923</v>
      </c>
      <c r="M2" s="105" t="s">
        <v>2929</v>
      </c>
      <c r="N2" s="105" t="s">
        <v>512</v>
      </c>
      <c r="O2" s="105" t="s">
        <v>3085</v>
      </c>
      <c r="P2" s="105" t="s">
        <v>714</v>
      </c>
      <c r="Q2" s="105" t="s">
        <v>3086</v>
      </c>
      <c r="R2" s="105" t="s">
        <v>3087</v>
      </c>
      <c r="S2" s="105" t="s">
        <v>3088</v>
      </c>
      <c r="T2" s="105" t="s">
        <v>3089</v>
      </c>
      <c r="U2" s="105" t="s">
        <v>3090</v>
      </c>
      <c r="V2" s="105" t="s">
        <v>3091</v>
      </c>
      <c r="W2" s="105" t="s">
        <v>1890</v>
      </c>
      <c r="X2" s="105" t="s">
        <v>2536</v>
      </c>
      <c r="Y2" s="105" t="s">
        <v>3092</v>
      </c>
      <c r="Z2" s="105" t="s">
        <v>3093</v>
      </c>
      <c r="AA2" s="105" t="s">
        <v>3094</v>
      </c>
      <c r="AB2" s="105" t="s">
        <v>107</v>
      </c>
      <c r="AC2" s="105" t="s">
        <v>153</v>
      </c>
      <c r="AE2" s="105" t="s">
        <v>3095</v>
      </c>
      <c r="AF2" s="44">
        <v>5</v>
      </c>
      <c r="AG2" s="44">
        <v>7</v>
      </c>
      <c r="AI2" s="105" t="s">
        <v>441</v>
      </c>
      <c r="AJ2" s="44">
        <v>3</v>
      </c>
    </row>
    <row r="3" spans="1:36" x14ac:dyDescent="0.15">
      <c r="A3" s="105" t="s">
        <v>178</v>
      </c>
      <c r="B3" s="105">
        <v>2</v>
      </c>
      <c r="C3" s="105">
        <v>2</v>
      </c>
      <c r="D3" s="105" t="s">
        <v>728</v>
      </c>
      <c r="E3" s="105" t="s">
        <v>3096</v>
      </c>
      <c r="F3" s="105" t="s">
        <v>441</v>
      </c>
      <c r="G3" s="105" t="s">
        <v>3097</v>
      </c>
      <c r="H3" s="105" t="s">
        <v>3097</v>
      </c>
      <c r="I3" s="105" t="s">
        <v>3097</v>
      </c>
      <c r="J3" s="105" t="s">
        <v>2766</v>
      </c>
      <c r="K3" s="105" t="s">
        <v>3098</v>
      </c>
      <c r="L3" s="105" t="s">
        <v>2924</v>
      </c>
      <c r="M3" s="105" t="s">
        <v>2931</v>
      </c>
      <c r="N3" s="105" t="s">
        <v>440</v>
      </c>
      <c r="O3" s="105" t="s">
        <v>444</v>
      </c>
      <c r="P3" s="105" t="s">
        <v>3099</v>
      </c>
      <c r="Q3" s="105" t="s">
        <v>3100</v>
      </c>
      <c r="R3" s="105" t="s">
        <v>3101</v>
      </c>
      <c r="S3" s="105" t="s">
        <v>3102</v>
      </c>
      <c r="T3" s="105" t="s">
        <v>2356</v>
      </c>
      <c r="U3" s="105" t="s">
        <v>2358</v>
      </c>
      <c r="V3" s="105" t="s">
        <v>3103</v>
      </c>
      <c r="W3" s="105" t="s">
        <v>3104</v>
      </c>
      <c r="X3" s="105" t="s">
        <v>3105</v>
      </c>
      <c r="Y3" s="105" t="s">
        <v>3106</v>
      </c>
      <c r="Z3" s="105" t="s">
        <v>2661</v>
      </c>
      <c r="AA3" s="105" t="s">
        <v>3107</v>
      </c>
      <c r="AB3" s="105" t="s">
        <v>3108</v>
      </c>
      <c r="AC3" s="105" t="s">
        <v>3109</v>
      </c>
      <c r="AE3" s="105" t="s">
        <v>3110</v>
      </c>
      <c r="AF3" s="44">
        <v>8</v>
      </c>
      <c r="AG3" s="44">
        <v>10</v>
      </c>
      <c r="AI3" s="105" t="s">
        <v>728</v>
      </c>
      <c r="AJ3" s="44">
        <v>2</v>
      </c>
    </row>
    <row r="4" spans="1:36" x14ac:dyDescent="0.15">
      <c r="A4" s="105" t="s">
        <v>186</v>
      </c>
      <c r="B4" s="105">
        <v>3</v>
      </c>
      <c r="C4" s="105">
        <v>3</v>
      </c>
      <c r="D4" s="105" t="s">
        <v>797</v>
      </c>
      <c r="E4" s="105" t="s">
        <v>3111</v>
      </c>
      <c r="F4" s="105" t="s">
        <v>728</v>
      </c>
      <c r="G4" s="105" t="s">
        <v>2535</v>
      </c>
      <c r="I4" s="105" t="s">
        <v>3112</v>
      </c>
      <c r="J4" s="105" t="s">
        <v>3113</v>
      </c>
      <c r="K4" s="105" t="s">
        <v>3114</v>
      </c>
      <c r="L4" s="105" t="s">
        <v>2925</v>
      </c>
      <c r="M4" s="105" t="s">
        <v>2933</v>
      </c>
      <c r="N4" s="105" t="s">
        <v>548</v>
      </c>
      <c r="O4" s="105" t="s">
        <v>3115</v>
      </c>
      <c r="P4" s="105" t="s">
        <v>3116</v>
      </c>
      <c r="Q4" s="105" t="s">
        <v>3117</v>
      </c>
      <c r="R4" s="105" t="s">
        <v>3118</v>
      </c>
      <c r="S4" s="105" t="s">
        <v>3119</v>
      </c>
      <c r="T4" s="105" t="s">
        <v>3120</v>
      </c>
      <c r="U4" s="105" t="s">
        <v>3121</v>
      </c>
      <c r="V4" s="105" t="s">
        <v>2359</v>
      </c>
      <c r="W4" s="105" t="s">
        <v>3122</v>
      </c>
      <c r="X4" s="105" t="s">
        <v>3123</v>
      </c>
      <c r="Y4" s="105" t="s">
        <v>2659</v>
      </c>
      <c r="Z4" s="105" t="s">
        <v>3124</v>
      </c>
      <c r="AA4" s="105" t="s">
        <v>3125</v>
      </c>
      <c r="AB4" s="105" t="s">
        <v>3126</v>
      </c>
      <c r="AC4" s="105" t="s">
        <v>3127</v>
      </c>
      <c r="AE4" s="105" t="s">
        <v>2229</v>
      </c>
      <c r="AF4" s="44">
        <v>11</v>
      </c>
      <c r="AG4" s="44">
        <v>15</v>
      </c>
      <c r="AI4" s="105" t="s">
        <v>797</v>
      </c>
      <c r="AJ4" s="44">
        <v>1</v>
      </c>
    </row>
    <row r="5" spans="1:36" x14ac:dyDescent="0.15">
      <c r="A5" s="105" t="s">
        <v>194</v>
      </c>
      <c r="B5" s="105">
        <v>4</v>
      </c>
      <c r="F5" s="105" t="s">
        <v>797</v>
      </c>
      <c r="K5" s="105" t="s">
        <v>3128</v>
      </c>
      <c r="L5" s="105" t="s">
        <v>2926</v>
      </c>
      <c r="M5" s="105" t="s">
        <v>2935</v>
      </c>
      <c r="N5" s="105" t="s">
        <v>568</v>
      </c>
      <c r="O5" s="105" t="s">
        <v>3129</v>
      </c>
      <c r="P5" s="105" t="s">
        <v>3130</v>
      </c>
      <c r="R5" s="105" t="s">
        <v>3131</v>
      </c>
      <c r="T5" s="105" t="s">
        <v>3132</v>
      </c>
      <c r="U5" s="105" t="s">
        <v>3133</v>
      </c>
      <c r="V5" s="105" t="s">
        <v>3134</v>
      </c>
      <c r="W5" s="105" t="s">
        <v>3135</v>
      </c>
      <c r="X5" s="105" t="s">
        <v>3136</v>
      </c>
      <c r="Y5" s="105" t="s">
        <v>3137</v>
      </c>
      <c r="Z5" s="105" t="s">
        <v>3138</v>
      </c>
      <c r="AA5" s="105" t="s">
        <v>3139</v>
      </c>
      <c r="AB5" s="105" t="s">
        <v>64</v>
      </c>
      <c r="AE5" s="105" t="s">
        <v>3140</v>
      </c>
      <c r="AF5" s="44">
        <v>15</v>
      </c>
      <c r="AG5" s="44">
        <v>20</v>
      </c>
    </row>
    <row r="6" spans="1:36" x14ac:dyDescent="0.15">
      <c r="A6" s="105" t="s">
        <v>203</v>
      </c>
      <c r="B6" s="105">
        <v>5</v>
      </c>
      <c r="K6" s="105" t="s">
        <v>3141</v>
      </c>
      <c r="N6" s="105" t="s">
        <v>589</v>
      </c>
      <c r="P6" s="105" t="s">
        <v>3142</v>
      </c>
      <c r="R6" s="105" t="s">
        <v>3143</v>
      </c>
      <c r="T6" s="105" t="s">
        <v>3143</v>
      </c>
      <c r="Y6" s="105" t="s">
        <v>3144</v>
      </c>
      <c r="AA6" s="105" t="s">
        <v>3145</v>
      </c>
      <c r="AB6" s="105" t="s">
        <v>3128</v>
      </c>
    </row>
    <row r="7" spans="1:36" ht="15" customHeight="1" x14ac:dyDescent="0.15">
      <c r="A7" s="105" t="s">
        <v>212</v>
      </c>
      <c r="B7" s="105" t="s">
        <v>3146</v>
      </c>
      <c r="N7" s="105" t="s">
        <v>610</v>
      </c>
      <c r="Y7" s="105" t="s">
        <v>3147</v>
      </c>
      <c r="AE7" s="110" t="s">
        <v>3148</v>
      </c>
      <c r="AF7" s="110"/>
      <c r="AG7" s="110"/>
    </row>
    <row r="8" spans="1:36" x14ac:dyDescent="0.15">
      <c r="A8" s="105" t="s">
        <v>221</v>
      </c>
      <c r="N8" s="105" t="s">
        <v>628</v>
      </c>
      <c r="Y8" s="105" t="s">
        <v>3149</v>
      </c>
      <c r="AE8" s="110"/>
      <c r="AF8" s="110"/>
      <c r="AG8" s="110"/>
    </row>
    <row r="9" spans="1:36" x14ac:dyDescent="0.15">
      <c r="A9" s="105" t="s">
        <v>231</v>
      </c>
      <c r="N9" s="105" t="s">
        <v>649</v>
      </c>
      <c r="Y9" s="105" t="s">
        <v>3150</v>
      </c>
    </row>
    <row r="10" spans="1:36" x14ac:dyDescent="0.15">
      <c r="A10" s="105" t="s">
        <v>240</v>
      </c>
      <c r="N10" s="105" t="s">
        <v>669</v>
      </c>
    </row>
    <row r="11" spans="1:36" x14ac:dyDescent="0.15">
      <c r="A11" s="105" t="s">
        <v>249</v>
      </c>
      <c r="N11" s="105" t="s">
        <v>683</v>
      </c>
    </row>
    <row r="12" spans="1:36" x14ac:dyDescent="0.15">
      <c r="A12" s="105" t="s">
        <v>257</v>
      </c>
    </row>
    <row r="13" spans="1:36" x14ac:dyDescent="0.15">
      <c r="A13" s="105" t="s">
        <v>265</v>
      </c>
    </row>
    <row r="14" spans="1:36" x14ac:dyDescent="0.15">
      <c r="A14" s="105" t="s">
        <v>273</v>
      </c>
    </row>
    <row r="15" spans="1:36" x14ac:dyDescent="0.15">
      <c r="A15" s="105" t="s">
        <v>281</v>
      </c>
    </row>
    <row r="16" spans="1:36" x14ac:dyDescent="0.15">
      <c r="A16" s="105" t="s">
        <v>288</v>
      </c>
    </row>
    <row r="17" spans="1:1" x14ac:dyDescent="0.15">
      <c r="A17" s="105" t="s">
        <v>295</v>
      </c>
    </row>
    <row r="18" spans="1:1" x14ac:dyDescent="0.15">
      <c r="A18" s="105" t="s">
        <v>302</v>
      </c>
    </row>
  </sheetData>
  <mergeCells count="1">
    <mergeCell ref="AE7:AG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17</vt:i4>
      </vt:variant>
    </vt:vector>
  </HeadingPairs>
  <TitlesOfParts>
    <vt:vector size="38" baseType="lpstr">
      <vt:lpstr>Cover</vt:lpstr>
      <vt:lpstr>Engagement</vt:lpstr>
      <vt:lpstr>Framework</vt:lpstr>
      <vt:lpstr>Maturity Model</vt:lpstr>
      <vt:lpstr>Stakeholders</vt:lpstr>
      <vt:lpstr>Interview Guides</vt:lpstr>
      <vt:lpstr>Document Requests</vt:lpstr>
      <vt:lpstr>Assessment</vt:lpstr>
      <vt:lpstr>Capabilities</vt:lpstr>
      <vt:lpstr>Processes</vt:lpstr>
      <vt:lpstr>Org Structure</vt:lpstr>
      <vt:lpstr>Decision Rights</vt:lpstr>
      <vt:lpstr>Applications</vt:lpstr>
      <vt:lpstr>Suppliers</vt:lpstr>
      <vt:lpstr>Locations</vt:lpstr>
      <vt:lpstr>Cost Baseline</vt:lpstr>
      <vt:lpstr>Findings</vt:lpstr>
      <vt:lpstr>Dashboard</vt:lpstr>
      <vt:lpstr>Current vs Target</vt:lpstr>
      <vt:lpstr>Recommendations</vt:lpstr>
      <vt:lpstr>Lists</vt:lpstr>
      <vt:lpstr>Applications!Print_Titles</vt:lpstr>
      <vt:lpstr>Assessment!Print_Titles</vt:lpstr>
      <vt:lpstr>Capabilities!Print_Titles</vt:lpstr>
      <vt:lpstr>'Cost Baseline'!Print_Titles</vt:lpstr>
      <vt:lpstr>'Current vs Target'!Print_Titles</vt:lpstr>
      <vt:lpstr>'Decision Rights'!Print_Titles</vt:lpstr>
      <vt:lpstr>'Document Requests'!Print_Titles</vt:lpstr>
      <vt:lpstr>Findings!Print_Titles</vt:lpstr>
      <vt:lpstr>Framework!Print_Titles</vt:lpstr>
      <vt:lpstr>'Interview Guides'!Print_Titles</vt:lpstr>
      <vt:lpstr>Locations!Print_Titles</vt:lpstr>
      <vt:lpstr>'Maturity Model'!Print_Titles</vt:lpstr>
      <vt:lpstr>'Org Structure'!Print_Titles</vt:lpstr>
      <vt:lpstr>Processes!Print_Titles</vt:lpstr>
      <vt:lpstr>Recommendations!Print_Titles</vt:lpstr>
      <vt:lpstr>Stakeholders!Print_Titles</vt:lpstr>
      <vt:lpstr>Suppliers!Print_Titles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Operating Model Assessment Toolkit</dc:title>
  <dc:subject/>
  <dc:creator>CTO Consulting</dc:creator>
  <dc:description/>
  <cp:lastModifiedBy>Karim Khalifa</cp:lastModifiedBy>
  <cp:revision>1</cp:revision>
  <dcterms:created xsi:type="dcterms:W3CDTF">2026-09-29T13:28:18Z</dcterms:created>
  <dcterms:modified xsi:type="dcterms:W3CDTF">2026-09-29T13:31:56Z</dcterms:modified>
  <dc:language>en-US</dc:language>
</cp:coreProperties>
</file>